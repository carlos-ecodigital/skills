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crmg/Downloads/"/>
    </mc:Choice>
  </mc:AlternateContent>
  <xr:revisionPtr revIDLastSave="0" documentId="13_ncr:1_{D5AFC99E-B893-484E-ADAD-16FA8BA9468A}" xr6:coauthVersionLast="47" xr6:coauthVersionMax="47" xr10:uidLastSave="{00000000-0000-0000-0000-000000000000}"/>
  <bookViews>
    <workbookView xWindow="0" yWindow="660" windowWidth="34560" windowHeight="20580" activeTab="4" xr2:uid="{00000000-000D-0000-FFFF-FFFF00000000}"/>
  </bookViews>
  <sheets>
    <sheet name="Sample DEC" sheetId="4" r:id="rId1"/>
    <sheet name="Sample BESS" sheetId="5" r:id="rId2"/>
    <sheet name="Planning 2026_2027" sheetId="6" r:id="rId3"/>
    <sheet name="Sample EPC Resources" sheetId="7" r:id="rId4"/>
    <sheet name="Sample Non EPC Resources" sheetId="8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6" i="8" l="1"/>
  <c r="I34" i="8"/>
  <c r="F34" i="8"/>
  <c r="G34" i="8" s="1"/>
  <c r="I33" i="8"/>
  <c r="F33" i="8"/>
  <c r="G33" i="8" s="1"/>
  <c r="I32" i="8"/>
  <c r="F32" i="8"/>
  <c r="G32" i="8" s="1"/>
  <c r="I31" i="8"/>
  <c r="F31" i="8"/>
  <c r="G31" i="8" s="1"/>
  <c r="I30" i="8"/>
  <c r="G30" i="8"/>
  <c r="F30" i="8"/>
  <c r="I29" i="8"/>
  <c r="F29" i="8"/>
  <c r="G29" i="8" s="1"/>
  <c r="I28" i="8"/>
  <c r="F28" i="8"/>
  <c r="G28" i="8" s="1"/>
  <c r="I27" i="8"/>
  <c r="F27" i="8"/>
  <c r="G27" i="8" s="1"/>
  <c r="I26" i="8"/>
  <c r="G26" i="8"/>
  <c r="F26" i="8"/>
  <c r="I25" i="8"/>
  <c r="F25" i="8"/>
  <c r="G25" i="8" s="1"/>
  <c r="B17" i="8"/>
  <c r="B30" i="7"/>
  <c r="B14" i="7"/>
  <c r="AC43" i="6"/>
  <c r="AA43" i="6"/>
  <c r="AI41" i="6"/>
  <c r="AH41" i="6"/>
  <c r="AG41" i="6"/>
  <c r="AF41" i="6"/>
  <c r="AE41" i="6"/>
  <c r="AE43" i="6" s="1"/>
  <c r="AD41" i="6"/>
  <c r="AC41" i="6"/>
  <c r="AB41" i="6"/>
  <c r="AA41" i="6"/>
  <c r="Z41" i="6"/>
  <c r="L41" i="6"/>
  <c r="I41" i="6"/>
  <c r="AH40" i="6"/>
  <c r="AH43" i="6" s="1"/>
  <c r="AG40" i="6"/>
  <c r="AG43" i="6" s="1"/>
  <c r="AE40" i="6"/>
  <c r="AC40" i="6"/>
  <c r="AB40" i="6"/>
  <c r="AB43" i="6" s="1"/>
  <c r="AA40" i="6"/>
  <c r="X40" i="6"/>
  <c r="W40" i="6"/>
  <c r="Q40" i="6"/>
  <c r="O40" i="6"/>
  <c r="L40" i="6"/>
  <c r="J40" i="6"/>
  <c r="I40" i="6"/>
  <c r="I43" i="6" s="1"/>
  <c r="AI22" i="6"/>
  <c r="AI40" i="6" s="1"/>
  <c r="AI43" i="6" s="1"/>
  <c r="AH22" i="6"/>
  <c r="AG22" i="6"/>
  <c r="AF22" i="6"/>
  <c r="V22" i="6"/>
  <c r="U22" i="6"/>
  <c r="U40" i="6" s="1"/>
  <c r="I19" i="6"/>
  <c r="G19" i="6"/>
  <c r="H19" i="6" s="1"/>
  <c r="F19" i="6"/>
  <c r="I18" i="6"/>
  <c r="G18" i="6"/>
  <c r="I17" i="6"/>
  <c r="G17" i="6"/>
  <c r="F17" i="6" s="1"/>
  <c r="I16" i="6"/>
  <c r="G16" i="6"/>
  <c r="H16" i="6" s="1"/>
  <c r="F16" i="6"/>
  <c r="I15" i="6"/>
  <c r="H15" i="6"/>
  <c r="G15" i="6"/>
  <c r="F15" i="6"/>
  <c r="I14" i="6"/>
  <c r="G14" i="6"/>
  <c r="H14" i="6" s="1"/>
  <c r="F14" i="6"/>
  <c r="I13" i="6"/>
  <c r="H13" i="6"/>
  <c r="G13" i="6"/>
  <c r="F13" i="6" s="1"/>
  <c r="J12" i="6"/>
  <c r="I12" i="6"/>
  <c r="G12" i="6"/>
  <c r="H12" i="6" s="1"/>
  <c r="F12" i="6"/>
  <c r="I11" i="6"/>
  <c r="G11" i="6"/>
  <c r="F11" i="6"/>
  <c r="J10" i="6"/>
  <c r="I10" i="6"/>
  <c r="G10" i="6"/>
  <c r="I8" i="6"/>
  <c r="I7" i="6"/>
  <c r="I6" i="6"/>
  <c r="I55" i="6" s="1"/>
  <c r="J5" i="6"/>
  <c r="I5" i="6"/>
  <c r="I4" i="6"/>
  <c r="I47" i="6" s="1"/>
  <c r="J2" i="6"/>
  <c r="V1" i="6"/>
  <c r="U1" i="6"/>
  <c r="K1" i="6"/>
  <c r="J1" i="6"/>
  <c r="G23" i="5"/>
  <c r="C22" i="5"/>
  <c r="G22" i="5" s="1"/>
  <c r="M3" i="5"/>
  <c r="N3" i="5" s="1"/>
  <c r="L3" i="5"/>
  <c r="K3" i="5"/>
  <c r="I3" i="5"/>
  <c r="H3" i="5" s="1"/>
  <c r="I79" i="4"/>
  <c r="J79" i="4" s="1"/>
  <c r="K79" i="4" s="1"/>
  <c r="H79" i="4"/>
  <c r="G72" i="4"/>
  <c r="G71" i="4"/>
  <c r="G70" i="4"/>
  <c r="G69" i="4"/>
  <c r="G68" i="4"/>
  <c r="G67" i="4"/>
  <c r="F67" i="4"/>
  <c r="G66" i="4"/>
  <c r="G65" i="4"/>
  <c r="G64" i="4"/>
  <c r="G63" i="4"/>
  <c r="R58" i="4" s="1"/>
  <c r="S22" i="6" s="1"/>
  <c r="G62" i="4"/>
  <c r="G61" i="4"/>
  <c r="G60" i="4"/>
  <c r="G59" i="4"/>
  <c r="P58" i="4" s="1"/>
  <c r="S58" i="4"/>
  <c r="F43" i="4"/>
  <c r="L3" i="4"/>
  <c r="M3" i="4" s="1"/>
  <c r="N3" i="4" s="1"/>
  <c r="O3" i="4" s="1"/>
  <c r="P3" i="4" s="1"/>
  <c r="Q3" i="4" s="1"/>
  <c r="R3" i="4" s="1"/>
  <c r="S3" i="4" s="1"/>
  <c r="T3" i="4" s="1"/>
  <c r="U3" i="4" s="1"/>
  <c r="K3" i="4"/>
  <c r="J3" i="4"/>
  <c r="I3" i="4"/>
  <c r="AF25" i="6" l="1"/>
  <c r="Y23" i="6"/>
  <c r="Y40" i="6" s="1"/>
  <c r="S40" i="6"/>
  <c r="AF26" i="6"/>
  <c r="AD24" i="6"/>
  <c r="AD40" i="6" s="1"/>
  <c r="AD43" i="6" s="1"/>
  <c r="L43" i="6"/>
  <c r="M58" i="4"/>
  <c r="N22" i="6" s="1"/>
  <c r="H58" i="4"/>
  <c r="G74" i="4"/>
  <c r="G75" i="4" s="1"/>
  <c r="Q58" i="4"/>
  <c r="O58" i="4"/>
  <c r="N58" i="4"/>
  <c r="K58" i="4"/>
  <c r="J58" i="4"/>
  <c r="K22" i="6" s="1"/>
  <c r="I50" i="6"/>
  <c r="I52" i="6"/>
  <c r="I48" i="6"/>
  <c r="I49" i="6"/>
  <c r="I51" i="6"/>
  <c r="I73" i="6" s="1"/>
  <c r="G25" i="5"/>
  <c r="G26" i="5" s="1"/>
  <c r="I64" i="6"/>
  <c r="I76" i="6" s="1"/>
  <c r="I68" i="6"/>
  <c r="I65" i="6"/>
  <c r="I77" i="6" s="1"/>
  <c r="I62" i="6"/>
  <c r="I59" i="6"/>
  <c r="I71" i="6" s="1"/>
  <c r="I61" i="6"/>
  <c r="I58" i="6"/>
  <c r="I70" i="6" s="1"/>
  <c r="I60" i="6"/>
  <c r="I56" i="6"/>
  <c r="I57" i="6"/>
  <c r="I69" i="6" s="1"/>
  <c r="I63" i="6"/>
  <c r="I75" i="6" s="1"/>
  <c r="I58" i="4"/>
  <c r="L58" i="4"/>
  <c r="L1" i="6"/>
  <c r="W1" i="6"/>
  <c r="H18" i="6"/>
  <c r="F18" i="6"/>
  <c r="J15" i="6"/>
  <c r="J16" i="6"/>
  <c r="J14" i="6"/>
  <c r="J17" i="6"/>
  <c r="J13" i="6"/>
  <c r="K2" i="6"/>
  <c r="J6" i="6"/>
  <c r="J55" i="6" s="1"/>
  <c r="H17" i="6"/>
  <c r="J8" i="6"/>
  <c r="J4" i="6"/>
  <c r="J18" i="6"/>
  <c r="J11" i="6"/>
  <c r="J7" i="6"/>
  <c r="J19" i="6"/>
  <c r="G35" i="8"/>
  <c r="G36" i="8" s="1"/>
  <c r="Z25" i="6" l="1"/>
  <c r="R23" i="6"/>
  <c r="R40" i="6" s="1"/>
  <c r="Z26" i="6"/>
  <c r="V24" i="6"/>
  <c r="V40" i="6" s="1"/>
  <c r="N40" i="6"/>
  <c r="J47" i="6"/>
  <c r="K21" i="5"/>
  <c r="J28" i="6" s="1"/>
  <c r="L21" i="5"/>
  <c r="I74" i="6"/>
  <c r="M1" i="6"/>
  <c r="X1" i="6"/>
  <c r="M21" i="5"/>
  <c r="K16" i="6"/>
  <c r="K14" i="6"/>
  <c r="L2" i="6"/>
  <c r="K17" i="6"/>
  <c r="K13" i="6"/>
  <c r="K11" i="6"/>
  <c r="K18" i="6"/>
  <c r="K4" i="6"/>
  <c r="K8" i="6"/>
  <c r="K12" i="6"/>
  <c r="K5" i="6"/>
  <c r="K15" i="6"/>
  <c r="K6" i="6"/>
  <c r="K55" i="6" s="1"/>
  <c r="K10" i="6"/>
  <c r="K19" i="6"/>
  <c r="K7" i="6"/>
  <c r="N21" i="5"/>
  <c r="I72" i="6"/>
  <c r="I82" i="6"/>
  <c r="I84" i="6"/>
  <c r="I80" i="6"/>
  <c r="I89" i="6"/>
  <c r="I86" i="6"/>
  <c r="I88" i="6"/>
  <c r="I81" i="6"/>
  <c r="I87" i="6"/>
  <c r="I85" i="6"/>
  <c r="I83" i="6"/>
  <c r="J65" i="6"/>
  <c r="J77" i="6" s="1"/>
  <c r="J59" i="6"/>
  <c r="J71" i="6" s="1"/>
  <c r="J61" i="6"/>
  <c r="J56" i="6"/>
  <c r="J57" i="6"/>
  <c r="J69" i="6" s="1"/>
  <c r="J62" i="6"/>
  <c r="J63" i="6"/>
  <c r="J75" i="6" s="1"/>
  <c r="J58" i="6"/>
  <c r="J64" i="6"/>
  <c r="J76" i="6" s="1"/>
  <c r="J60" i="6"/>
  <c r="O21" i="5"/>
  <c r="P21" i="5"/>
  <c r="O28" i="6" s="1"/>
  <c r="AF40" i="6"/>
  <c r="AF43" i="6" s="1"/>
  <c r="E22" i="6"/>
  <c r="F22" i="6" s="1"/>
  <c r="M23" i="6"/>
  <c r="P24" i="6"/>
  <c r="K40" i="6"/>
  <c r="K47" i="6" l="1"/>
  <c r="Y37" i="6"/>
  <c r="Y41" i="6" s="1"/>
  <c r="Y43" i="6" s="1"/>
  <c r="U33" i="6"/>
  <c r="U41" i="6" s="1"/>
  <c r="U43" i="6" s="1"/>
  <c r="X36" i="6"/>
  <c r="X41" i="6" s="1"/>
  <c r="X43" i="6" s="1"/>
  <c r="S31" i="6"/>
  <c r="R30" i="6"/>
  <c r="W35" i="6"/>
  <c r="W41" i="6" s="1"/>
  <c r="W43" i="6" s="1"/>
  <c r="O41" i="6"/>
  <c r="O43" i="6" s="1"/>
  <c r="P29" i="6"/>
  <c r="P41" i="6" s="1"/>
  <c r="T32" i="6"/>
  <c r="T41" i="6" s="1"/>
  <c r="V34" i="6"/>
  <c r="V41" i="6" s="1"/>
  <c r="V43" i="6"/>
  <c r="K57" i="6"/>
  <c r="K69" i="6" s="1"/>
  <c r="K61" i="6"/>
  <c r="K56" i="6"/>
  <c r="K63" i="6"/>
  <c r="K75" i="6" s="1"/>
  <c r="K60" i="6"/>
  <c r="K62" i="6"/>
  <c r="K58" i="6"/>
  <c r="K64" i="6"/>
  <c r="K76" i="6" s="1"/>
  <c r="K59" i="6"/>
  <c r="K71" i="6" s="1"/>
  <c r="K65" i="6"/>
  <c r="K77" i="6" s="1"/>
  <c r="N1" i="6"/>
  <c r="Y1" i="6"/>
  <c r="I91" i="6"/>
  <c r="S36" i="6"/>
  <c r="E36" i="6" s="1"/>
  <c r="F36" i="6" s="1"/>
  <c r="K29" i="6"/>
  <c r="T37" i="6"/>
  <c r="E37" i="6" s="1"/>
  <c r="F37" i="6" s="1"/>
  <c r="O32" i="6"/>
  <c r="J41" i="6"/>
  <c r="J43" i="6" s="1"/>
  <c r="E28" i="6"/>
  <c r="F28" i="6" s="1"/>
  <c r="M30" i="6"/>
  <c r="R35" i="6"/>
  <c r="E35" i="6" s="1"/>
  <c r="F35" i="6" s="1"/>
  <c r="Q34" i="6"/>
  <c r="P33" i="6"/>
  <c r="E33" i="6" s="1"/>
  <c r="F33" i="6" s="1"/>
  <c r="N31" i="6"/>
  <c r="Z40" i="6"/>
  <c r="Z43" i="6" s="1"/>
  <c r="L17" i="6"/>
  <c r="L13" i="6"/>
  <c r="L18" i="6"/>
  <c r="L16" i="6"/>
  <c r="L11" i="6"/>
  <c r="L4" i="6"/>
  <c r="L8" i="6"/>
  <c r="L14" i="6"/>
  <c r="L12" i="6"/>
  <c r="L5" i="6"/>
  <c r="L6" i="6"/>
  <c r="L55" i="6" s="1"/>
  <c r="L10" i="6"/>
  <c r="M2" i="6"/>
  <c r="L19" i="6"/>
  <c r="L7" i="6"/>
  <c r="L15" i="6"/>
  <c r="J51" i="6"/>
  <c r="J73" i="6" s="1"/>
  <c r="J52" i="6"/>
  <c r="J74" i="6" s="1"/>
  <c r="J48" i="6"/>
  <c r="J68" i="6" s="1"/>
  <c r="J50" i="6"/>
  <c r="J72" i="6" s="1"/>
  <c r="J49" i="6"/>
  <c r="J70" i="6"/>
  <c r="T25" i="6"/>
  <c r="E24" i="6"/>
  <c r="F24" i="6" s="1"/>
  <c r="P40" i="6"/>
  <c r="P43" i="6" s="1"/>
  <c r="E23" i="6"/>
  <c r="F23" i="6" s="1"/>
  <c r="M40" i="6"/>
  <c r="I93" i="6" l="1"/>
  <c r="L57" i="6"/>
  <c r="L69" i="6" s="1"/>
  <c r="L60" i="6"/>
  <c r="L61" i="6"/>
  <c r="L56" i="6"/>
  <c r="L63" i="6"/>
  <c r="L75" i="6" s="1"/>
  <c r="L58" i="6"/>
  <c r="L65" i="6"/>
  <c r="L77" i="6" s="1"/>
  <c r="L62" i="6"/>
  <c r="L64" i="6"/>
  <c r="L76" i="6" s="1"/>
  <c r="L59" i="6"/>
  <c r="L71" i="6" s="1"/>
  <c r="T26" i="6"/>
  <c r="E26" i="6" s="1"/>
  <c r="F26" i="6" s="1"/>
  <c r="E25" i="6"/>
  <c r="F25" i="6" s="1"/>
  <c r="L47" i="6"/>
  <c r="S41" i="6"/>
  <c r="S43" i="6" s="1"/>
  <c r="J83" i="6"/>
  <c r="J85" i="6"/>
  <c r="J82" i="6"/>
  <c r="J89" i="6"/>
  <c r="J84" i="6"/>
  <c r="J81" i="6"/>
  <c r="J86" i="6"/>
  <c r="J80" i="6"/>
  <c r="J91" i="6" s="1"/>
  <c r="J93" i="6" s="1"/>
  <c r="J87" i="6"/>
  <c r="J88" i="6"/>
  <c r="M17" i="6"/>
  <c r="M13" i="6"/>
  <c r="M18" i="6"/>
  <c r="M12" i="6"/>
  <c r="M4" i="6"/>
  <c r="M8" i="6"/>
  <c r="M14" i="6"/>
  <c r="M5" i="6"/>
  <c r="M15" i="6"/>
  <c r="M10" i="6"/>
  <c r="N2" i="6"/>
  <c r="M19" i="6"/>
  <c r="M7" i="6"/>
  <c r="M16" i="6"/>
  <c r="M11" i="6"/>
  <c r="M6" i="6"/>
  <c r="M55" i="6" s="1"/>
  <c r="E31" i="6"/>
  <c r="F31" i="6" s="1"/>
  <c r="N41" i="6"/>
  <c r="N43" i="6" s="1"/>
  <c r="E30" i="6"/>
  <c r="F30" i="6" s="1"/>
  <c r="M41" i="6"/>
  <c r="M43" i="6" s="1"/>
  <c r="R41" i="6"/>
  <c r="R43" i="6" s="1"/>
  <c r="E32" i="6"/>
  <c r="F32" i="6" s="1"/>
  <c r="O1" i="6"/>
  <c r="Z1" i="6"/>
  <c r="E34" i="6"/>
  <c r="F34" i="6" s="1"/>
  <c r="Q41" i="6"/>
  <c r="Q43" i="6" s="1"/>
  <c r="K41" i="6"/>
  <c r="K43" i="6" s="1"/>
  <c r="E29" i="6"/>
  <c r="F29" i="6" s="1"/>
  <c r="K52" i="6"/>
  <c r="K74" i="6" s="1"/>
  <c r="K51" i="6"/>
  <c r="K73" i="6" s="1"/>
  <c r="K48" i="6"/>
  <c r="K68" i="6" s="1"/>
  <c r="K49" i="6"/>
  <c r="K70" i="6" s="1"/>
  <c r="K50" i="6"/>
  <c r="K72" i="6" s="1"/>
  <c r="P1" i="6" l="1"/>
  <c r="AA1" i="6"/>
  <c r="M56" i="6"/>
  <c r="M60" i="6"/>
  <c r="M63" i="6"/>
  <c r="M75" i="6" s="1"/>
  <c r="M58" i="6"/>
  <c r="M62" i="6"/>
  <c r="M61" i="6"/>
  <c r="M57" i="6"/>
  <c r="M69" i="6" s="1"/>
  <c r="M59" i="6"/>
  <c r="M71" i="6" s="1"/>
  <c r="M65" i="6"/>
  <c r="M77" i="6" s="1"/>
  <c r="M64" i="6"/>
  <c r="M76" i="6" s="1"/>
  <c r="N4" i="6"/>
  <c r="N47" i="6" s="1"/>
  <c r="N18" i="6"/>
  <c r="N12" i="6"/>
  <c r="N19" i="6"/>
  <c r="N8" i="6"/>
  <c r="N14" i="6"/>
  <c r="N5" i="6"/>
  <c r="N15" i="6"/>
  <c r="N6" i="6"/>
  <c r="N55" i="6" s="1"/>
  <c r="N17" i="6"/>
  <c r="O2" i="6"/>
  <c r="N7" i="6"/>
  <c r="N13" i="6"/>
  <c r="N16" i="6"/>
  <c r="N11" i="6"/>
  <c r="N10" i="6"/>
  <c r="L51" i="6"/>
  <c r="L73" i="6" s="1"/>
  <c r="L52" i="6"/>
  <c r="L74" i="6" s="1"/>
  <c r="L50" i="6"/>
  <c r="L72" i="6" s="1"/>
  <c r="L48" i="6"/>
  <c r="L68" i="6" s="1"/>
  <c r="L49" i="6"/>
  <c r="T40" i="6"/>
  <c r="T43" i="6" s="1"/>
  <c r="L70" i="6"/>
  <c r="M47" i="6"/>
  <c r="K84" i="6"/>
  <c r="K86" i="6"/>
  <c r="K87" i="6"/>
  <c r="K81" i="6"/>
  <c r="K82" i="6"/>
  <c r="K89" i="6"/>
  <c r="K88" i="6"/>
  <c r="K83" i="6"/>
  <c r="K85" i="6"/>
  <c r="K80" i="6"/>
  <c r="N52" i="6" l="1"/>
  <c r="N50" i="6"/>
  <c r="N48" i="6"/>
  <c r="N68" i="6" s="1"/>
  <c r="N51" i="6"/>
  <c r="N49" i="6"/>
  <c r="M52" i="6"/>
  <c r="M74" i="6" s="1"/>
  <c r="M50" i="6"/>
  <c r="M72" i="6" s="1"/>
  <c r="M48" i="6"/>
  <c r="M68" i="6" s="1"/>
  <c r="M49" i="6"/>
  <c r="M51" i="6"/>
  <c r="M73" i="6" s="1"/>
  <c r="O19" i="6"/>
  <c r="O18" i="6"/>
  <c r="O12" i="6"/>
  <c r="O5" i="6"/>
  <c r="O11" i="6"/>
  <c r="O7" i="6"/>
  <c r="O8" i="6"/>
  <c r="O4" i="6"/>
  <c r="O14" i="6"/>
  <c r="O15" i="6"/>
  <c r="O6" i="6"/>
  <c r="O55" i="6" s="1"/>
  <c r="O10" i="6"/>
  <c r="P2" i="6"/>
  <c r="O13" i="6"/>
  <c r="O16" i="6"/>
  <c r="O17" i="6"/>
  <c r="N57" i="6"/>
  <c r="N69" i="6" s="1"/>
  <c r="N63" i="6"/>
  <c r="N75" i="6" s="1"/>
  <c r="N56" i="6"/>
  <c r="N58" i="6"/>
  <c r="N62" i="6"/>
  <c r="N64" i="6"/>
  <c r="N76" i="6" s="1"/>
  <c r="N65" i="6"/>
  <c r="N77" i="6" s="1"/>
  <c r="N60" i="6"/>
  <c r="N61" i="6"/>
  <c r="N59" i="6"/>
  <c r="N71" i="6" s="1"/>
  <c r="K91" i="6"/>
  <c r="M70" i="6"/>
  <c r="L85" i="6"/>
  <c r="L87" i="6"/>
  <c r="L81" i="6"/>
  <c r="L84" i="6"/>
  <c r="L89" i="6"/>
  <c r="L83" i="6"/>
  <c r="L82" i="6"/>
  <c r="L88" i="6"/>
  <c r="L80" i="6"/>
  <c r="L86" i="6"/>
  <c r="Q1" i="6"/>
  <c r="AB1" i="6"/>
  <c r="N87" i="6" l="1"/>
  <c r="N89" i="6"/>
  <c r="N84" i="6"/>
  <c r="N86" i="6"/>
  <c r="N83" i="6"/>
  <c r="N85" i="6"/>
  <c r="N82" i="6"/>
  <c r="N88" i="6"/>
  <c r="N80" i="6"/>
  <c r="N81" i="6"/>
  <c r="K93" i="6"/>
  <c r="R1" i="6"/>
  <c r="AC1" i="6"/>
  <c r="M86" i="6"/>
  <c r="M88" i="6"/>
  <c r="M87" i="6"/>
  <c r="M84" i="6"/>
  <c r="M81" i="6"/>
  <c r="M82" i="6"/>
  <c r="M83" i="6"/>
  <c r="M89" i="6"/>
  <c r="M85" i="6"/>
  <c r="M80" i="6"/>
  <c r="M91" i="6" s="1"/>
  <c r="M93" i="6" s="1"/>
  <c r="O47" i="6"/>
  <c r="N70" i="6"/>
  <c r="N72" i="6"/>
  <c r="P19" i="6"/>
  <c r="P6" i="6"/>
  <c r="P55" i="6" s="1"/>
  <c r="P11" i="6"/>
  <c r="P10" i="6"/>
  <c r="P8" i="6"/>
  <c r="P14" i="6"/>
  <c r="P18" i="6"/>
  <c r="P5" i="6"/>
  <c r="P15" i="6"/>
  <c r="P12" i="6"/>
  <c r="P17" i="6"/>
  <c r="P13" i="6"/>
  <c r="P7" i="6"/>
  <c r="P16" i="6"/>
  <c r="P4" i="6"/>
  <c r="P47" i="6" s="1"/>
  <c r="Q2" i="6"/>
  <c r="O56" i="6"/>
  <c r="O58" i="6"/>
  <c r="O63" i="6"/>
  <c r="O75" i="6" s="1"/>
  <c r="O65" i="6"/>
  <c r="O77" i="6" s="1"/>
  <c r="O62" i="6"/>
  <c r="O64" i="6"/>
  <c r="O76" i="6" s="1"/>
  <c r="O57" i="6"/>
  <c r="O69" i="6" s="1"/>
  <c r="O59" i="6"/>
  <c r="O71" i="6" s="1"/>
  <c r="O60" i="6"/>
  <c r="O61" i="6"/>
  <c r="L91" i="6"/>
  <c r="L93" i="6" s="1"/>
  <c r="N73" i="6"/>
  <c r="N74" i="6"/>
  <c r="P48" i="6" l="1"/>
  <c r="P68" i="6" s="1"/>
  <c r="P51" i="6"/>
  <c r="P49" i="6"/>
  <c r="P50" i="6"/>
  <c r="P52" i="6"/>
  <c r="AD1" i="6"/>
  <c r="S1" i="6"/>
  <c r="N91" i="6"/>
  <c r="N93" i="6" s="1"/>
  <c r="O70" i="6"/>
  <c r="O52" i="6"/>
  <c r="O74" i="6" s="1"/>
  <c r="O50" i="6"/>
  <c r="O72" i="6" s="1"/>
  <c r="O48" i="6"/>
  <c r="O68" i="6" s="1"/>
  <c r="O49" i="6"/>
  <c r="O51" i="6"/>
  <c r="O73" i="6" s="1"/>
  <c r="Q19" i="6"/>
  <c r="Q18" i="6"/>
  <c r="Q11" i="6"/>
  <c r="Q7" i="6"/>
  <c r="Q10" i="6"/>
  <c r="Q8" i="6"/>
  <c r="Q5" i="6"/>
  <c r="Q15" i="6"/>
  <c r="Q12" i="6"/>
  <c r="Q6" i="6"/>
  <c r="Q55" i="6" s="1"/>
  <c r="Q17" i="6"/>
  <c r="R2" i="6"/>
  <c r="Q13" i="6"/>
  <c r="Q16" i="6"/>
  <c r="Q4" i="6"/>
  <c r="Q14" i="6"/>
  <c r="P57" i="6"/>
  <c r="P69" i="6" s="1"/>
  <c r="P59" i="6"/>
  <c r="P71" i="6" s="1"/>
  <c r="P63" i="6"/>
  <c r="P75" i="6" s="1"/>
  <c r="P58" i="6"/>
  <c r="P70" i="6" s="1"/>
  <c r="P65" i="6"/>
  <c r="P77" i="6" s="1"/>
  <c r="P60" i="6"/>
  <c r="P62" i="6"/>
  <c r="P56" i="6"/>
  <c r="P64" i="6"/>
  <c r="P76" i="6" s="1"/>
  <c r="P61" i="6"/>
  <c r="P89" i="6" l="1"/>
  <c r="P82" i="6"/>
  <c r="P86" i="6"/>
  <c r="P81" i="6"/>
  <c r="P88" i="6"/>
  <c r="P85" i="6"/>
  <c r="P87" i="6"/>
  <c r="P83" i="6"/>
  <c r="P84" i="6"/>
  <c r="P80" i="6"/>
  <c r="P91" i="6" s="1"/>
  <c r="P93" i="6" s="1"/>
  <c r="R18" i="6"/>
  <c r="R10" i="6"/>
  <c r="R8" i="6"/>
  <c r="R19" i="6"/>
  <c r="R5" i="6"/>
  <c r="R15" i="6"/>
  <c r="R12" i="6"/>
  <c r="R6" i="6"/>
  <c r="R55" i="6" s="1"/>
  <c r="R17" i="6"/>
  <c r="S2" i="6"/>
  <c r="R16" i="6"/>
  <c r="R7" i="6"/>
  <c r="R11" i="6"/>
  <c r="R4" i="6"/>
  <c r="R14" i="6"/>
  <c r="R13" i="6"/>
  <c r="O88" i="6"/>
  <c r="O84" i="6"/>
  <c r="O86" i="6"/>
  <c r="O81" i="6"/>
  <c r="O80" i="6"/>
  <c r="O89" i="6"/>
  <c r="O82" i="6"/>
  <c r="O87" i="6"/>
  <c r="O83" i="6"/>
  <c r="O85" i="6"/>
  <c r="Q58" i="6"/>
  <c r="Q60" i="6"/>
  <c r="Q61" i="6"/>
  <c r="Q65" i="6"/>
  <c r="Q77" i="6" s="1"/>
  <c r="Q64" i="6"/>
  <c r="Q76" i="6" s="1"/>
  <c r="Q59" i="6"/>
  <c r="Q71" i="6" s="1"/>
  <c r="Q57" i="6"/>
  <c r="Q69" i="6" s="1"/>
  <c r="Q63" i="6"/>
  <c r="Q75" i="6" s="1"/>
  <c r="Q62" i="6"/>
  <c r="Q56" i="6"/>
  <c r="P74" i="6"/>
  <c r="AE1" i="6"/>
  <c r="T1" i="6"/>
  <c r="AF1" i="6" s="1"/>
  <c r="P72" i="6"/>
  <c r="Q47" i="6"/>
  <c r="P73" i="6"/>
  <c r="Q48" i="6" l="1"/>
  <c r="Q68" i="6" s="1"/>
  <c r="Q49" i="6"/>
  <c r="Q50" i="6"/>
  <c r="Q72" i="6" s="1"/>
  <c r="Q51" i="6"/>
  <c r="Q73" i="6" s="1"/>
  <c r="Q52" i="6"/>
  <c r="Q74" i="6" s="1"/>
  <c r="R47" i="6"/>
  <c r="Q70" i="6"/>
  <c r="S17" i="6"/>
  <c r="S19" i="6"/>
  <c r="S15" i="6"/>
  <c r="S12" i="6"/>
  <c r="S18" i="6"/>
  <c r="S6" i="6"/>
  <c r="S55" i="6" s="1"/>
  <c r="T2" i="6"/>
  <c r="S10" i="6"/>
  <c r="S13" i="6"/>
  <c r="S11" i="6"/>
  <c r="S4" i="6"/>
  <c r="S14" i="6"/>
  <c r="S8" i="6"/>
  <c r="S5" i="6"/>
  <c r="S16" i="6"/>
  <c r="S7" i="6"/>
  <c r="R59" i="6"/>
  <c r="R71" i="6" s="1"/>
  <c r="R61" i="6"/>
  <c r="R64" i="6"/>
  <c r="R76" i="6" s="1"/>
  <c r="R58" i="6"/>
  <c r="R65" i="6"/>
  <c r="R77" i="6" s="1"/>
  <c r="R60" i="6"/>
  <c r="R62" i="6"/>
  <c r="R57" i="6"/>
  <c r="R69" i="6" s="1"/>
  <c r="R63" i="6"/>
  <c r="R75" i="6" s="1"/>
  <c r="R56" i="6"/>
  <c r="O91" i="6"/>
  <c r="O93" i="6" s="1"/>
  <c r="T17" i="6" l="1"/>
  <c r="T19" i="6"/>
  <c r="T18" i="6"/>
  <c r="T6" i="6"/>
  <c r="T55" i="6" s="1"/>
  <c r="U2" i="6"/>
  <c r="T10" i="6"/>
  <c r="T13" i="6"/>
  <c r="T16" i="6"/>
  <c r="T7" i="6"/>
  <c r="T11" i="6"/>
  <c r="T4" i="6"/>
  <c r="T14" i="6"/>
  <c r="T8" i="6"/>
  <c r="T5" i="6"/>
  <c r="T15" i="6"/>
  <c r="T12" i="6"/>
  <c r="S47" i="6"/>
  <c r="S60" i="6"/>
  <c r="S62" i="6"/>
  <c r="S64" i="6"/>
  <c r="S76" i="6" s="1"/>
  <c r="S61" i="6"/>
  <c r="S58" i="6"/>
  <c r="S57" i="6"/>
  <c r="S69" i="6" s="1"/>
  <c r="S63" i="6"/>
  <c r="S75" i="6" s="1"/>
  <c r="S59" i="6"/>
  <c r="S71" i="6" s="1"/>
  <c r="S65" i="6"/>
  <c r="S77" i="6" s="1"/>
  <c r="S56" i="6"/>
  <c r="R49" i="6"/>
  <c r="R70" i="6" s="1"/>
  <c r="R48" i="6"/>
  <c r="R68" i="6" s="1"/>
  <c r="R50" i="6"/>
  <c r="R72" i="6" s="1"/>
  <c r="R51" i="6"/>
  <c r="R73" i="6" s="1"/>
  <c r="R52" i="6"/>
  <c r="R74" i="6" s="1"/>
  <c r="Q82" i="6"/>
  <c r="Q85" i="6"/>
  <c r="Q86" i="6"/>
  <c r="Q81" i="6"/>
  <c r="Q88" i="6"/>
  <c r="Q83" i="6"/>
  <c r="Q80" i="6"/>
  <c r="Q87" i="6"/>
  <c r="Q89" i="6"/>
  <c r="Q84" i="6"/>
  <c r="T47" i="6" l="1"/>
  <c r="T61" i="6"/>
  <c r="T63" i="6"/>
  <c r="T75" i="6" s="1"/>
  <c r="T60" i="6"/>
  <c r="T62" i="6"/>
  <c r="T59" i="6"/>
  <c r="T71" i="6" s="1"/>
  <c r="T64" i="6"/>
  <c r="T76" i="6" s="1"/>
  <c r="T58" i="6"/>
  <c r="T56" i="6"/>
  <c r="T57" i="6"/>
  <c r="T69" i="6" s="1"/>
  <c r="T65" i="6"/>
  <c r="T77" i="6" s="1"/>
  <c r="S49" i="6"/>
  <c r="S70" i="6" s="1"/>
  <c r="S51" i="6"/>
  <c r="S73" i="6" s="1"/>
  <c r="S48" i="6"/>
  <c r="S68" i="6" s="1"/>
  <c r="S50" i="6"/>
  <c r="S72" i="6" s="1"/>
  <c r="S52" i="6"/>
  <c r="S74" i="6" s="1"/>
  <c r="R85" i="6"/>
  <c r="R88" i="6"/>
  <c r="R81" i="6"/>
  <c r="R83" i="6"/>
  <c r="R87" i="6"/>
  <c r="R82" i="6"/>
  <c r="R84" i="6"/>
  <c r="R89" i="6"/>
  <c r="R80" i="6"/>
  <c r="R86" i="6"/>
  <c r="Q91" i="6"/>
  <c r="Q93" i="6" s="1"/>
  <c r="U16" i="6"/>
  <c r="U15" i="6"/>
  <c r="U6" i="6"/>
  <c r="U55" i="6" s="1"/>
  <c r="V2" i="6"/>
  <c r="U17" i="6"/>
  <c r="U10" i="6"/>
  <c r="U13" i="6"/>
  <c r="U7" i="6"/>
  <c r="U11" i="6"/>
  <c r="U4" i="6"/>
  <c r="U14" i="6"/>
  <c r="U19" i="6"/>
  <c r="U8" i="6"/>
  <c r="U5" i="6"/>
  <c r="U12" i="6"/>
  <c r="U18" i="6"/>
  <c r="R91" i="6" l="1"/>
  <c r="R93" i="6" s="1"/>
  <c r="V16" i="6"/>
  <c r="V15" i="6"/>
  <c r="V14" i="6"/>
  <c r="W2" i="6"/>
  <c r="V17" i="6"/>
  <c r="V10" i="6"/>
  <c r="V13" i="6"/>
  <c r="V7" i="6"/>
  <c r="V19" i="6"/>
  <c r="V8" i="6"/>
  <c r="V5" i="6"/>
  <c r="V12" i="6"/>
  <c r="V18" i="6"/>
  <c r="V6" i="6"/>
  <c r="V55" i="6" s="1"/>
  <c r="V4" i="6"/>
  <c r="V11" i="6"/>
  <c r="U47" i="6"/>
  <c r="U62" i="6"/>
  <c r="U64" i="6"/>
  <c r="U76" i="6" s="1"/>
  <c r="U60" i="6"/>
  <c r="U57" i="6"/>
  <c r="U69" i="6" s="1"/>
  <c r="U56" i="6"/>
  <c r="U63" i="6"/>
  <c r="U75" i="6" s="1"/>
  <c r="U58" i="6"/>
  <c r="U59" i="6"/>
  <c r="U71" i="6" s="1"/>
  <c r="U65" i="6"/>
  <c r="U77" i="6" s="1"/>
  <c r="U61" i="6"/>
  <c r="S80" i="6"/>
  <c r="S88" i="6"/>
  <c r="S83" i="6"/>
  <c r="S82" i="6"/>
  <c r="S84" i="6"/>
  <c r="S85" i="6"/>
  <c r="S86" i="6"/>
  <c r="S81" i="6"/>
  <c r="S87" i="6"/>
  <c r="S89" i="6"/>
  <c r="T49" i="6"/>
  <c r="T70" i="6" s="1"/>
  <c r="T51" i="6"/>
  <c r="T73" i="6" s="1"/>
  <c r="T48" i="6"/>
  <c r="T68" i="6" s="1"/>
  <c r="T50" i="6"/>
  <c r="T72" i="6" s="1"/>
  <c r="T52" i="6"/>
  <c r="T74" i="6" s="1"/>
  <c r="W15" i="6" l="1"/>
  <c r="W14" i="6"/>
  <c r="X2" i="6"/>
  <c r="W17" i="6"/>
  <c r="W10" i="6"/>
  <c r="W13" i="6"/>
  <c r="W7" i="6"/>
  <c r="W3" i="6"/>
  <c r="W16" i="6"/>
  <c r="W11" i="6"/>
  <c r="W4" i="6"/>
  <c r="W19" i="6"/>
  <c r="W8" i="6"/>
  <c r="W5" i="6"/>
  <c r="W12" i="6"/>
  <c r="W18" i="6"/>
  <c r="W6" i="6"/>
  <c r="W55" i="6" s="1"/>
  <c r="U48" i="6"/>
  <c r="U68" i="6" s="1"/>
  <c r="U51" i="6"/>
  <c r="U73" i="6" s="1"/>
  <c r="U49" i="6"/>
  <c r="U70" i="6" s="1"/>
  <c r="U52" i="6"/>
  <c r="U74" i="6" s="1"/>
  <c r="U50" i="6"/>
  <c r="U72" i="6" s="1"/>
  <c r="S91" i="6"/>
  <c r="S93" i="6" s="1"/>
  <c r="T81" i="6"/>
  <c r="T83" i="6"/>
  <c r="T88" i="6"/>
  <c r="T87" i="6"/>
  <c r="T89" i="6"/>
  <c r="T84" i="6"/>
  <c r="T86" i="6"/>
  <c r="T82" i="6"/>
  <c r="T85" i="6"/>
  <c r="T80" i="6"/>
  <c r="V47" i="6"/>
  <c r="V63" i="6"/>
  <c r="V75" i="6" s="1"/>
  <c r="V65" i="6"/>
  <c r="V77" i="6" s="1"/>
  <c r="V56" i="6"/>
  <c r="V62" i="6"/>
  <c r="V57" i="6"/>
  <c r="V69" i="6" s="1"/>
  <c r="V61" i="6"/>
  <c r="V58" i="6"/>
  <c r="V64" i="6"/>
  <c r="V76" i="6" s="1"/>
  <c r="V59" i="6"/>
  <c r="V71" i="6" s="1"/>
  <c r="V60" i="6"/>
  <c r="V49" i="6" l="1"/>
  <c r="V70" i="6" s="1"/>
  <c r="V50" i="6"/>
  <c r="V72" i="6" s="1"/>
  <c r="V51" i="6"/>
  <c r="V73" i="6" s="1"/>
  <c r="V52" i="6"/>
  <c r="V74" i="6" s="1"/>
  <c r="V48" i="6"/>
  <c r="V68" i="6" s="1"/>
  <c r="W47" i="6"/>
  <c r="U80" i="6"/>
  <c r="U82" i="6"/>
  <c r="U83" i="6"/>
  <c r="U88" i="6"/>
  <c r="U85" i="6"/>
  <c r="U84" i="6"/>
  <c r="U89" i="6"/>
  <c r="U86" i="6"/>
  <c r="U81" i="6"/>
  <c r="U87" i="6"/>
  <c r="T91" i="6"/>
  <c r="T93" i="6" s="1"/>
  <c r="W64" i="6"/>
  <c r="W76" i="6" s="1"/>
  <c r="W56" i="6"/>
  <c r="W59" i="6"/>
  <c r="W71" i="6" s="1"/>
  <c r="W62" i="6"/>
  <c r="W57" i="6"/>
  <c r="W69" i="6" s="1"/>
  <c r="W63" i="6"/>
  <c r="W75" i="6" s="1"/>
  <c r="W58" i="6"/>
  <c r="W65" i="6"/>
  <c r="W77" i="6" s="1"/>
  <c r="W61" i="6"/>
  <c r="W60" i="6"/>
  <c r="X15" i="6"/>
  <c r="X14" i="6"/>
  <c r="X16" i="6"/>
  <c r="X13" i="6"/>
  <c r="X17" i="6"/>
  <c r="X10" i="6"/>
  <c r="X7" i="6"/>
  <c r="X3" i="6"/>
  <c r="X11" i="6"/>
  <c r="X4" i="6"/>
  <c r="X8" i="6"/>
  <c r="X5" i="6"/>
  <c r="X12" i="6"/>
  <c r="X18" i="6"/>
  <c r="X6" i="6"/>
  <c r="X55" i="6" s="1"/>
  <c r="Y2" i="6"/>
  <c r="X19" i="6"/>
  <c r="X47" i="6" l="1"/>
  <c r="U91" i="6"/>
  <c r="U93" i="6" s="1"/>
  <c r="W50" i="6"/>
  <c r="W72" i="6" s="1"/>
  <c r="W49" i="6"/>
  <c r="W52" i="6"/>
  <c r="W74" i="6" s="1"/>
  <c r="W51" i="6"/>
  <c r="W73" i="6" s="1"/>
  <c r="W48" i="6"/>
  <c r="W68" i="6" s="1"/>
  <c r="Y14" i="6"/>
  <c r="Z2" i="6"/>
  <c r="Y15" i="6"/>
  <c r="Y16" i="6"/>
  <c r="Y13" i="6"/>
  <c r="Y7" i="6"/>
  <c r="Y3" i="6"/>
  <c r="Y11" i="6"/>
  <c r="Y4" i="6"/>
  <c r="Y19" i="6"/>
  <c r="Y12" i="6"/>
  <c r="Y18" i="6"/>
  <c r="Y6" i="6"/>
  <c r="Y55" i="6" s="1"/>
  <c r="Y17" i="6"/>
  <c r="Y10" i="6"/>
  <c r="Y5" i="6"/>
  <c r="Y8" i="6"/>
  <c r="W70" i="6"/>
  <c r="V81" i="6"/>
  <c r="V83" i="6"/>
  <c r="V86" i="6"/>
  <c r="V80" i="6"/>
  <c r="V85" i="6"/>
  <c r="V89" i="6"/>
  <c r="V82" i="6"/>
  <c r="V88" i="6"/>
  <c r="V84" i="6"/>
  <c r="V87" i="6"/>
  <c r="X65" i="6"/>
  <c r="X77" i="6" s="1"/>
  <c r="X59" i="6"/>
  <c r="X71" i="6" s="1"/>
  <c r="X62" i="6"/>
  <c r="X57" i="6"/>
  <c r="X69" i="6" s="1"/>
  <c r="X64" i="6"/>
  <c r="X76" i="6" s="1"/>
  <c r="X61" i="6"/>
  <c r="X63" i="6"/>
  <c r="X75" i="6" s="1"/>
  <c r="X58" i="6"/>
  <c r="X60" i="6"/>
  <c r="X56" i="6"/>
  <c r="Z15" i="6" l="1"/>
  <c r="Z16" i="6"/>
  <c r="Z13" i="6"/>
  <c r="Z17" i="6"/>
  <c r="Z12" i="6"/>
  <c r="Z7" i="6"/>
  <c r="Z3" i="6"/>
  <c r="Z11" i="6"/>
  <c r="Z4" i="6"/>
  <c r="Z19" i="6"/>
  <c r="Z8" i="6"/>
  <c r="Z5" i="6"/>
  <c r="Z18" i="6"/>
  <c r="Z14" i="6"/>
  <c r="Z6" i="6"/>
  <c r="Z55" i="6" s="1"/>
  <c r="Z10" i="6"/>
  <c r="AA2" i="6"/>
  <c r="W82" i="6"/>
  <c r="W84" i="6"/>
  <c r="W86" i="6"/>
  <c r="W83" i="6"/>
  <c r="W80" i="6"/>
  <c r="W89" i="6"/>
  <c r="W85" i="6"/>
  <c r="W87" i="6"/>
  <c r="W88" i="6"/>
  <c r="W81" i="6"/>
  <c r="Y62" i="6"/>
  <c r="Y65" i="6"/>
  <c r="Y77" i="6" s="1"/>
  <c r="Y64" i="6"/>
  <c r="Y76" i="6" s="1"/>
  <c r="Y59" i="6"/>
  <c r="Y71" i="6" s="1"/>
  <c r="Y56" i="6"/>
  <c r="Y58" i="6"/>
  <c r="Y60" i="6"/>
  <c r="Y61" i="6"/>
  <c r="Y57" i="6"/>
  <c r="Y69" i="6" s="1"/>
  <c r="Y63" i="6"/>
  <c r="Y75" i="6" s="1"/>
  <c r="Y47" i="6"/>
  <c r="X70" i="6"/>
  <c r="V91" i="6"/>
  <c r="V93" i="6" s="1"/>
  <c r="X51" i="6"/>
  <c r="X73" i="6" s="1"/>
  <c r="X50" i="6"/>
  <c r="X72" i="6" s="1"/>
  <c r="X49" i="6"/>
  <c r="X48" i="6"/>
  <c r="X68" i="6" s="1"/>
  <c r="X52" i="6"/>
  <c r="X74" i="6" s="1"/>
  <c r="Y52" i="6" l="1"/>
  <c r="Y74" i="6" s="1"/>
  <c r="Y49" i="6"/>
  <c r="Y50" i="6"/>
  <c r="Y72" i="6" s="1"/>
  <c r="Y51" i="6"/>
  <c r="Y73" i="6" s="1"/>
  <c r="Y48" i="6"/>
  <c r="Y68" i="6" s="1"/>
  <c r="Z47" i="6"/>
  <c r="Y70" i="6"/>
  <c r="AA16" i="6"/>
  <c r="AA13" i="6"/>
  <c r="AA3" i="6"/>
  <c r="AA17" i="6"/>
  <c r="AA12" i="6"/>
  <c r="AA11" i="6"/>
  <c r="AA4" i="6"/>
  <c r="AA47" i="6" s="1"/>
  <c r="AA19" i="6"/>
  <c r="AA8" i="6"/>
  <c r="AA5" i="6"/>
  <c r="AA6" i="6"/>
  <c r="AA55" i="6" s="1"/>
  <c r="AA10" i="6"/>
  <c r="AB2" i="6"/>
  <c r="AA15" i="6"/>
  <c r="AA7" i="6"/>
  <c r="AA14" i="6"/>
  <c r="AA18" i="6"/>
  <c r="W91" i="6"/>
  <c r="W93" i="6" s="1"/>
  <c r="X83" i="6"/>
  <c r="X85" i="6"/>
  <c r="X89" i="6"/>
  <c r="X87" i="6"/>
  <c r="X80" i="6"/>
  <c r="X84" i="6"/>
  <c r="X88" i="6"/>
  <c r="X86" i="6"/>
  <c r="X81" i="6"/>
  <c r="X82" i="6"/>
  <c r="Z65" i="6"/>
  <c r="Z77" i="6" s="1"/>
  <c r="Z64" i="6"/>
  <c r="Z76" i="6" s="1"/>
  <c r="Z59" i="6"/>
  <c r="Z71" i="6" s="1"/>
  <c r="Z63" i="6"/>
  <c r="Z75" i="6" s="1"/>
  <c r="Z60" i="6"/>
  <c r="Z56" i="6"/>
  <c r="Z57" i="6"/>
  <c r="Z69" i="6" s="1"/>
  <c r="Z62" i="6"/>
  <c r="Z58" i="6"/>
  <c r="Z61" i="6"/>
  <c r="AA51" i="6" l="1"/>
  <c r="AA52" i="6"/>
  <c r="AA50" i="6"/>
  <c r="AA48" i="6"/>
  <c r="AA49" i="6"/>
  <c r="Z51" i="6"/>
  <c r="Z73" i="6" s="1"/>
  <c r="Z50" i="6"/>
  <c r="Z72" i="6" s="1"/>
  <c r="Z48" i="6"/>
  <c r="Z68" i="6" s="1"/>
  <c r="Z49" i="6"/>
  <c r="Z70" i="6" s="1"/>
  <c r="Z52" i="6"/>
  <c r="Z74" i="6" s="1"/>
  <c r="Y84" i="6"/>
  <c r="Y86" i="6"/>
  <c r="Y85" i="6"/>
  <c r="Y87" i="6"/>
  <c r="Y80" i="6"/>
  <c r="Y88" i="6"/>
  <c r="Y83" i="6"/>
  <c r="Y89" i="6"/>
  <c r="Y81" i="6"/>
  <c r="Y82" i="6"/>
  <c r="AB4" i="6"/>
  <c r="AB17" i="6"/>
  <c r="AB12" i="6"/>
  <c r="AB6" i="6"/>
  <c r="AB55" i="6" s="1"/>
  <c r="AB18" i="6"/>
  <c r="AB13" i="6"/>
  <c r="AB11" i="6"/>
  <c r="AB19" i="6"/>
  <c r="AB16" i="6"/>
  <c r="AB8" i="6"/>
  <c r="AB5" i="6"/>
  <c r="AB14" i="6"/>
  <c r="AB10" i="6"/>
  <c r="AC2" i="6"/>
  <c r="AB15" i="6"/>
  <c r="AB7" i="6"/>
  <c r="AB3" i="6"/>
  <c r="AA56" i="6"/>
  <c r="AA57" i="6"/>
  <c r="AA69" i="6" s="1"/>
  <c r="AA64" i="6"/>
  <c r="AA76" i="6" s="1"/>
  <c r="AA59" i="6"/>
  <c r="AA71" i="6" s="1"/>
  <c r="AA68" i="6"/>
  <c r="AA61" i="6"/>
  <c r="AA58" i="6"/>
  <c r="AA60" i="6"/>
  <c r="AA65" i="6"/>
  <c r="AA77" i="6" s="1"/>
  <c r="AA62" i="6"/>
  <c r="AA63" i="6"/>
  <c r="AA75" i="6" s="1"/>
  <c r="X91" i="6"/>
  <c r="X93" i="6" s="1"/>
  <c r="AA86" i="6" l="1"/>
  <c r="AA88" i="6"/>
  <c r="AA81" i="6"/>
  <c r="AA87" i="6"/>
  <c r="AA80" i="6"/>
  <c r="AA82" i="6"/>
  <c r="AA89" i="6"/>
  <c r="AA83" i="6"/>
  <c r="AA84" i="6"/>
  <c r="AA85" i="6"/>
  <c r="Z85" i="6"/>
  <c r="Z87" i="6"/>
  <c r="Z80" i="6"/>
  <c r="Z82" i="6"/>
  <c r="Z86" i="6"/>
  <c r="Z81" i="6"/>
  <c r="Z88" i="6"/>
  <c r="Z83" i="6"/>
  <c r="Z84" i="6"/>
  <c r="Z89" i="6"/>
  <c r="AB57" i="6"/>
  <c r="AB69" i="6" s="1"/>
  <c r="AB60" i="6"/>
  <c r="AB59" i="6"/>
  <c r="AB71" i="6" s="1"/>
  <c r="AB61" i="6"/>
  <c r="AB65" i="6"/>
  <c r="AB77" i="6" s="1"/>
  <c r="AB64" i="6"/>
  <c r="AB76" i="6" s="1"/>
  <c r="AB62" i="6"/>
  <c r="AB63" i="6"/>
  <c r="AB75" i="6" s="1"/>
  <c r="AB58" i="6"/>
  <c r="AB56" i="6"/>
  <c r="AC17" i="6"/>
  <c r="AC12" i="6"/>
  <c r="AC5" i="6"/>
  <c r="AC18" i="6"/>
  <c r="AC11" i="6"/>
  <c r="AC7" i="6"/>
  <c r="AC13" i="6"/>
  <c r="AC4" i="6"/>
  <c r="AC19" i="6"/>
  <c r="AC16" i="6"/>
  <c r="AC8" i="6"/>
  <c r="AC14" i="6"/>
  <c r="AC10" i="6"/>
  <c r="AD2" i="6"/>
  <c r="AC15" i="6"/>
  <c r="AC3" i="6"/>
  <c r="AC6" i="6"/>
  <c r="AC55" i="6" s="1"/>
  <c r="AA74" i="6"/>
  <c r="AB47" i="6"/>
  <c r="AA72" i="6"/>
  <c r="AA70" i="6"/>
  <c r="Y91" i="6"/>
  <c r="Y93" i="6" s="1"/>
  <c r="AA73" i="6"/>
  <c r="Z91" i="6" l="1"/>
  <c r="Z93" i="6" s="1"/>
  <c r="AC47" i="6"/>
  <c r="AB52" i="6"/>
  <c r="AB74" i="6" s="1"/>
  <c r="AB51" i="6"/>
  <c r="AB73" i="6" s="1"/>
  <c r="AB48" i="6"/>
  <c r="AB68" i="6" s="1"/>
  <c r="AB49" i="6"/>
  <c r="AB50" i="6"/>
  <c r="AB72" i="6" s="1"/>
  <c r="AC56" i="6"/>
  <c r="AC58" i="6"/>
  <c r="AC60" i="6"/>
  <c r="AC57" i="6"/>
  <c r="AC69" i="6" s="1"/>
  <c r="AC63" i="6"/>
  <c r="AC75" i="6" s="1"/>
  <c r="AC61" i="6"/>
  <c r="AC64" i="6"/>
  <c r="AC76" i="6" s="1"/>
  <c r="AC59" i="6"/>
  <c r="AC71" i="6" s="1"/>
  <c r="AC65" i="6"/>
  <c r="AC77" i="6" s="1"/>
  <c r="AC62" i="6"/>
  <c r="AA91" i="6"/>
  <c r="AA93" i="6" s="1"/>
  <c r="AD19" i="6"/>
  <c r="AD6" i="6"/>
  <c r="AD55" i="6" s="1"/>
  <c r="AD18" i="6"/>
  <c r="AD11" i="6"/>
  <c r="AD10" i="6"/>
  <c r="AD8" i="6"/>
  <c r="AD4" i="6"/>
  <c r="AD16" i="6"/>
  <c r="AD5" i="6"/>
  <c r="AD14" i="6"/>
  <c r="AE2" i="6"/>
  <c r="AD15" i="6"/>
  <c r="AD7" i="6"/>
  <c r="AD3" i="6"/>
  <c r="AD17" i="6"/>
  <c r="AD13" i="6"/>
  <c r="AD12" i="6"/>
  <c r="AB70" i="6"/>
  <c r="AD47" i="6" l="1"/>
  <c r="AB87" i="6"/>
  <c r="AB89" i="6"/>
  <c r="AB81" i="6"/>
  <c r="AB84" i="6"/>
  <c r="AB82" i="6"/>
  <c r="AB88" i="6"/>
  <c r="AB85" i="6"/>
  <c r="AB80" i="6"/>
  <c r="AB83" i="6"/>
  <c r="AB86" i="6"/>
  <c r="AC70" i="6"/>
  <c r="AD57" i="6"/>
  <c r="AD69" i="6" s="1"/>
  <c r="AD59" i="6"/>
  <c r="AD71" i="6" s="1"/>
  <c r="AD63" i="6"/>
  <c r="AD75" i="6" s="1"/>
  <c r="AD61" i="6"/>
  <c r="AD56" i="6"/>
  <c r="AD65" i="6"/>
  <c r="AD77" i="6" s="1"/>
  <c r="AD64" i="6"/>
  <c r="AD76" i="6" s="1"/>
  <c r="AD60" i="6"/>
  <c r="AD62" i="6"/>
  <c r="AD58" i="6"/>
  <c r="AE19" i="6"/>
  <c r="AE18" i="6"/>
  <c r="AE11" i="6"/>
  <c r="AE7" i="6"/>
  <c r="AE10" i="6"/>
  <c r="AE8" i="6"/>
  <c r="AE16" i="6"/>
  <c r="AE5" i="6"/>
  <c r="AE14" i="6"/>
  <c r="AE12" i="6"/>
  <c r="AE6" i="6"/>
  <c r="AE55" i="6" s="1"/>
  <c r="AE15" i="6"/>
  <c r="AE3" i="6"/>
  <c r="AE17" i="6"/>
  <c r="AE13" i="6"/>
  <c r="AE4" i="6"/>
  <c r="AF2" i="6"/>
  <c r="AC52" i="6"/>
  <c r="AC74" i="6" s="1"/>
  <c r="AC50" i="6"/>
  <c r="AC72" i="6" s="1"/>
  <c r="AC48" i="6"/>
  <c r="AC68" i="6" s="1"/>
  <c r="AC51" i="6"/>
  <c r="AC73" i="6" s="1"/>
  <c r="AC49" i="6"/>
  <c r="AE47" i="6" l="1"/>
  <c r="AF19" i="6"/>
  <c r="AF18" i="6"/>
  <c r="AF10" i="6"/>
  <c r="AF8" i="6"/>
  <c r="AF16" i="6"/>
  <c r="AF11" i="6"/>
  <c r="AF5" i="6"/>
  <c r="AF14" i="6"/>
  <c r="AF12" i="6"/>
  <c r="AF6" i="6"/>
  <c r="AF55" i="6" s="1"/>
  <c r="AG2" i="6"/>
  <c r="AF3" i="6"/>
  <c r="AF17" i="6"/>
  <c r="AF7" i="6"/>
  <c r="AF13" i="6"/>
  <c r="AF4" i="6"/>
  <c r="AF15" i="6"/>
  <c r="AB91" i="6"/>
  <c r="AB93" i="6" s="1"/>
  <c r="AD70" i="6"/>
  <c r="AE58" i="6"/>
  <c r="AE60" i="6"/>
  <c r="AE56" i="6"/>
  <c r="AE63" i="6"/>
  <c r="AE75" i="6" s="1"/>
  <c r="AE62" i="6"/>
  <c r="AE59" i="6"/>
  <c r="AE71" i="6" s="1"/>
  <c r="AE65" i="6"/>
  <c r="AE77" i="6" s="1"/>
  <c r="AE61" i="6"/>
  <c r="AE57" i="6"/>
  <c r="AE69" i="6" s="1"/>
  <c r="AE64" i="6"/>
  <c r="AE76" i="6" s="1"/>
  <c r="AC88" i="6"/>
  <c r="AC84" i="6"/>
  <c r="AC87" i="6"/>
  <c r="AC82" i="6"/>
  <c r="AC89" i="6"/>
  <c r="AC86" i="6"/>
  <c r="AC85" i="6"/>
  <c r="AC80" i="6"/>
  <c r="AC83" i="6"/>
  <c r="AC81" i="6"/>
  <c r="AD52" i="6"/>
  <c r="AD74" i="6" s="1"/>
  <c r="AD50" i="6"/>
  <c r="AD72" i="6" s="1"/>
  <c r="AD48" i="6"/>
  <c r="AD68" i="6" s="1"/>
  <c r="AD51" i="6"/>
  <c r="AD73" i="6" s="1"/>
  <c r="AD49" i="6"/>
  <c r="AG17" i="6" l="1"/>
  <c r="AG18" i="6"/>
  <c r="AG5" i="6"/>
  <c r="AG19" i="6"/>
  <c r="AG14" i="6"/>
  <c r="AG8" i="6"/>
  <c r="AG12" i="6"/>
  <c r="AG6" i="6"/>
  <c r="AG55" i="6" s="1"/>
  <c r="AH2" i="6"/>
  <c r="AG15" i="6"/>
  <c r="AG10" i="6"/>
  <c r="AG3" i="6"/>
  <c r="AG7" i="6"/>
  <c r="AG13" i="6"/>
  <c r="AG4" i="6"/>
  <c r="AG16" i="6"/>
  <c r="AG11" i="6"/>
  <c r="AC91" i="6"/>
  <c r="AC93" i="6" s="1"/>
  <c r="AE70" i="6"/>
  <c r="AF47" i="6"/>
  <c r="AF59" i="6"/>
  <c r="AF71" i="6" s="1"/>
  <c r="AF61" i="6"/>
  <c r="AF56" i="6"/>
  <c r="AF63" i="6"/>
  <c r="AF75" i="6" s="1"/>
  <c r="AF58" i="6"/>
  <c r="AF60" i="6"/>
  <c r="AF65" i="6"/>
  <c r="AF77" i="6" s="1"/>
  <c r="AF57" i="6"/>
  <c r="AF69" i="6" s="1"/>
  <c r="AF64" i="6"/>
  <c r="AF76" i="6" s="1"/>
  <c r="AF62" i="6"/>
  <c r="AD89" i="6"/>
  <c r="AD87" i="6"/>
  <c r="AD84" i="6"/>
  <c r="AD81" i="6"/>
  <c r="AD83" i="6"/>
  <c r="AD85" i="6"/>
  <c r="AD80" i="6"/>
  <c r="AD86" i="6"/>
  <c r="AD82" i="6"/>
  <c r="AD88" i="6"/>
  <c r="AE48" i="6"/>
  <c r="AE68" i="6" s="1"/>
  <c r="AE52" i="6"/>
  <c r="AE74" i="6" s="1"/>
  <c r="AE50" i="6"/>
  <c r="AE72" i="6" s="1"/>
  <c r="AE51" i="6"/>
  <c r="AE73" i="6" s="1"/>
  <c r="AE49" i="6"/>
  <c r="AE89" i="6" l="1"/>
  <c r="AE84" i="6"/>
  <c r="AE88" i="6"/>
  <c r="AE85" i="6"/>
  <c r="AE80" i="6"/>
  <c r="AE86" i="6"/>
  <c r="AE81" i="6"/>
  <c r="AE82" i="6"/>
  <c r="AE87" i="6"/>
  <c r="AE83" i="6"/>
  <c r="AD91" i="6"/>
  <c r="AD93" i="6" s="1"/>
  <c r="AG60" i="6"/>
  <c r="AG62" i="6"/>
  <c r="AG56" i="6"/>
  <c r="AG63" i="6"/>
  <c r="AG75" i="6" s="1"/>
  <c r="AG58" i="6"/>
  <c r="AG65" i="6"/>
  <c r="AG77" i="6" s="1"/>
  <c r="AG64" i="6"/>
  <c r="AG76" i="6" s="1"/>
  <c r="AG59" i="6"/>
  <c r="AG71" i="6" s="1"/>
  <c r="AG61" i="6"/>
  <c r="AG57" i="6"/>
  <c r="AG69" i="6" s="1"/>
  <c r="AF48" i="6"/>
  <c r="AF68" i="6" s="1"/>
  <c r="AF52" i="6"/>
  <c r="AF74" i="6" s="1"/>
  <c r="AF50" i="6"/>
  <c r="AF72" i="6" s="1"/>
  <c r="AF49" i="6"/>
  <c r="AF51" i="6"/>
  <c r="AF73" i="6" s="1"/>
  <c r="AF70" i="6"/>
  <c r="AH17" i="6"/>
  <c r="AH19" i="6"/>
  <c r="AH14" i="6"/>
  <c r="AH8" i="6"/>
  <c r="AH12" i="6"/>
  <c r="AH6" i="6"/>
  <c r="AH55" i="6" s="1"/>
  <c r="AI2" i="6"/>
  <c r="AH15" i="6"/>
  <c r="AH18" i="6"/>
  <c r="AH7" i="6"/>
  <c r="AH13" i="6"/>
  <c r="AH4" i="6"/>
  <c r="AH47" i="6" s="1"/>
  <c r="AH16" i="6"/>
  <c r="AH11" i="6"/>
  <c r="AH5" i="6"/>
  <c r="AH10" i="6"/>
  <c r="AH3" i="6"/>
  <c r="AG47" i="6"/>
  <c r="AH49" i="6" l="1"/>
  <c r="AH48" i="6"/>
  <c r="AH68" i="6" s="1"/>
  <c r="AH52" i="6"/>
  <c r="AH50" i="6"/>
  <c r="AH51" i="6"/>
  <c r="AF82" i="6"/>
  <c r="AF89" i="6"/>
  <c r="AF84" i="6"/>
  <c r="AF86" i="6"/>
  <c r="AF83" i="6"/>
  <c r="AF85" i="6"/>
  <c r="AF87" i="6"/>
  <c r="AF80" i="6"/>
  <c r="AF81" i="6"/>
  <c r="AF88" i="6"/>
  <c r="AG48" i="6"/>
  <c r="AG68" i="6" s="1"/>
  <c r="AG51" i="6"/>
  <c r="AG73" i="6" s="1"/>
  <c r="AG49" i="6"/>
  <c r="AG52" i="6"/>
  <c r="AG74" i="6" s="1"/>
  <c r="AG50" i="6"/>
  <c r="AG72" i="6" s="1"/>
  <c r="AH61" i="6"/>
  <c r="AH63" i="6"/>
  <c r="AH75" i="6" s="1"/>
  <c r="AH64" i="6"/>
  <c r="AH76" i="6" s="1"/>
  <c r="AH58" i="6"/>
  <c r="AH70" i="6" s="1"/>
  <c r="AH65" i="6"/>
  <c r="AH77" i="6" s="1"/>
  <c r="AH62" i="6"/>
  <c r="AH57" i="6"/>
  <c r="AH69" i="6" s="1"/>
  <c r="AH60" i="6"/>
  <c r="AH56" i="6"/>
  <c r="AH59" i="6"/>
  <c r="AH71" i="6" s="1"/>
  <c r="AE91" i="6"/>
  <c r="AE93" i="6" s="1"/>
  <c r="AG70" i="6"/>
  <c r="AI16" i="6"/>
  <c r="AI19" i="6"/>
  <c r="AI8" i="6"/>
  <c r="AI12" i="6"/>
  <c r="AI6" i="6"/>
  <c r="AI55" i="6" s="1"/>
  <c r="AI15" i="6"/>
  <c r="AI18" i="6"/>
  <c r="AI10" i="6"/>
  <c r="AI3" i="6"/>
  <c r="AI13" i="6"/>
  <c r="AI17" i="6"/>
  <c r="AI4" i="6"/>
  <c r="AI11" i="6"/>
  <c r="AI5" i="6"/>
  <c r="AI14" i="6"/>
  <c r="AI7" i="6"/>
  <c r="AH81" i="6" l="1"/>
  <c r="AH85" i="6"/>
  <c r="AH88" i="6"/>
  <c r="AH86" i="6"/>
  <c r="AH80" i="6"/>
  <c r="AH89" i="6"/>
  <c r="AH84" i="6"/>
  <c r="AH87" i="6"/>
  <c r="AH82" i="6"/>
  <c r="AH83" i="6"/>
  <c r="AI62" i="6"/>
  <c r="AI64" i="6"/>
  <c r="AI76" i="6" s="1"/>
  <c r="AI58" i="6"/>
  <c r="AI61" i="6"/>
  <c r="AI63" i="6"/>
  <c r="AI75" i="6" s="1"/>
  <c r="AI65" i="6"/>
  <c r="AI77" i="6" s="1"/>
  <c r="AI60" i="6"/>
  <c r="AI56" i="6"/>
  <c r="AI59" i="6"/>
  <c r="AI71" i="6" s="1"/>
  <c r="AI57" i="6"/>
  <c r="AI69" i="6" s="1"/>
  <c r="AH73" i="6"/>
  <c r="AI47" i="6"/>
  <c r="AH74" i="6"/>
  <c r="AG80" i="6"/>
  <c r="AG82" i="6"/>
  <c r="AG85" i="6"/>
  <c r="AG84" i="6"/>
  <c r="AG86" i="6"/>
  <c r="AG81" i="6"/>
  <c r="AG89" i="6"/>
  <c r="AG87" i="6"/>
  <c r="AG83" i="6"/>
  <c r="AG88" i="6"/>
  <c r="AF91" i="6"/>
  <c r="AF93" i="6" s="1"/>
  <c r="AH72" i="6"/>
  <c r="AG91" i="6" l="1"/>
  <c r="AG93" i="6" s="1"/>
  <c r="AI48" i="6"/>
  <c r="AI68" i="6" s="1"/>
  <c r="AI49" i="6"/>
  <c r="AI70" i="6" s="1"/>
  <c r="AI52" i="6"/>
  <c r="AI74" i="6" s="1"/>
  <c r="AI50" i="6"/>
  <c r="AI72" i="6" s="1"/>
  <c r="AI51" i="6"/>
  <c r="AI73" i="6" s="1"/>
  <c r="AH91" i="6"/>
  <c r="AH93" i="6" s="1"/>
  <c r="AI80" i="6" l="1"/>
  <c r="AI82" i="6"/>
  <c r="AI88" i="6"/>
  <c r="AI86" i="6"/>
  <c r="AI81" i="6"/>
  <c r="AI83" i="6"/>
  <c r="AI85" i="6"/>
  <c r="AI89" i="6"/>
  <c r="AI84" i="6"/>
  <c r="AI87" i="6"/>
  <c r="AI91" i="6" l="1"/>
  <c r="AI93" i="6" l="1"/>
  <c r="E93" i="6" s="1"/>
  <c r="F93" i="6" s="1"/>
  <c r="E91" i="6"/>
  <c r="F91" i="6" s="1"/>
</calcChain>
</file>

<file path=xl/sharedStrings.xml><?xml version="1.0" encoding="utf-8"?>
<sst xmlns="http://schemas.openxmlformats.org/spreadsheetml/2006/main" count="419" uniqueCount="184">
  <si>
    <t>EPC</t>
  </si>
  <si>
    <t>Total</t>
  </si>
  <si>
    <t>Legal</t>
  </si>
  <si>
    <t>Electrical Engineering</t>
  </si>
  <si>
    <t>Construction Management</t>
  </si>
  <si>
    <t>Water/MEP Systems</t>
  </si>
  <si>
    <t>Planning &amp; Coordination</t>
  </si>
  <si>
    <t>Quality Control</t>
  </si>
  <si>
    <t>Procurement</t>
  </si>
  <si>
    <t>Month</t>
  </si>
  <si>
    <t>Duration</t>
  </si>
  <si>
    <t>CAPEX</t>
  </si>
  <si>
    <t>Growth</t>
  </si>
  <si>
    <t>Development</t>
  </si>
  <si>
    <t>Construction-</t>
  </si>
  <si>
    <t>Construction</t>
  </si>
  <si>
    <t>2. Land &amp; Grid Securing</t>
  </si>
  <si>
    <t>HoT</t>
  </si>
  <si>
    <t>Grid</t>
  </si>
  <si>
    <t>3. Permitting &amp; Regulatory Approvals</t>
  </si>
  <si>
    <t>BESS permit</t>
  </si>
  <si>
    <t>Construction permit</t>
  </si>
  <si>
    <t>6A Bess development</t>
  </si>
  <si>
    <t>Concrete + foundation</t>
  </si>
  <si>
    <t>Transformer</t>
  </si>
  <si>
    <t>Supplier</t>
  </si>
  <si>
    <t>Leat time</t>
  </si>
  <si>
    <t>Installation</t>
  </si>
  <si>
    <t>EPC selection</t>
  </si>
  <si>
    <t>MEP vendors</t>
  </si>
  <si>
    <t>Long Load Items</t>
  </si>
  <si>
    <t>Riba 2</t>
  </si>
  <si>
    <t>Riba 3</t>
  </si>
  <si>
    <t>Riba 4</t>
  </si>
  <si>
    <t>6. Construction (Shell &amp; Core)</t>
  </si>
  <si>
    <t>Shell + lights/doors/</t>
  </si>
  <si>
    <t>Transformers, UPS, Main distribution</t>
  </si>
  <si>
    <t>Power cables &amp; Main busbars</t>
  </si>
  <si>
    <t>Heat pumps</t>
  </si>
  <si>
    <t>water works</t>
  </si>
  <si>
    <t>Whitespace fitout incl "Run"</t>
  </si>
  <si>
    <t>Distribution Busbar</t>
  </si>
  <si>
    <t>Air cooling</t>
  </si>
  <si>
    <t>Hot/Cold aisle if applicable</t>
  </si>
  <si>
    <t>8. Commissioning &amp; Testing</t>
  </si>
  <si>
    <t>E testing</t>
  </si>
  <si>
    <t>W testing</t>
  </si>
  <si>
    <t>Load bank test</t>
  </si>
  <si>
    <t>9. Operations Onboarding</t>
  </si>
  <si>
    <t>Standard operating procedures</t>
  </si>
  <si>
    <t>As build drawings</t>
  </si>
  <si>
    <t>Customer onboarding</t>
  </si>
  <si>
    <t>Control</t>
  </si>
  <si>
    <t>EMS strategy</t>
  </si>
  <si>
    <t>EMS installation</t>
  </si>
  <si>
    <t>EMS testing</t>
  </si>
  <si>
    <t>EMS Commissioning</t>
  </si>
  <si>
    <t>BMS installation</t>
  </si>
  <si>
    <t>BMS testing</t>
  </si>
  <si>
    <t>BMS Commissioning</t>
  </si>
  <si>
    <t>Power distribution busbars (4 feeds)</t>
  </si>
  <si>
    <t>Main distribution (UPS, LV switchgear, switchboards)</t>
  </si>
  <si>
    <t>Heat-reuse HEX skid</t>
  </si>
  <si>
    <t>BESS (battery energy storage system)</t>
  </si>
  <si>
    <t>Primary cooling loop (pumps, primary piping, plant controls)</t>
  </si>
  <si>
    <t>Secondary cooling loop piping/pumps</t>
  </si>
  <si>
    <t>Secondary cooling loop — Air (Rear-door, Fancoil ,AHUs, ducting)</t>
  </si>
  <si>
    <t>Dry coolers</t>
  </si>
  <si>
    <t>Fire security</t>
  </si>
  <si>
    <t>Security systems (CCTV, access control, IDS)</t>
  </si>
  <si>
    <t>Certification (e.g., Uptime/Tier, ISO, commissioning cert fees)</t>
  </si>
  <si>
    <t>Commissioning (incl. test-runs)</t>
  </si>
  <si>
    <t>Shell (building structure/envelope)</t>
  </si>
  <si>
    <t>Contingengy</t>
  </si>
  <si>
    <t>E/MW</t>
  </si>
  <si>
    <t>1. Permitting &amp; Regulatory Approvals</t>
  </si>
  <si>
    <t>AAB</t>
  </si>
  <si>
    <t>Jelmer</t>
  </si>
  <si>
    <t>2. Procurement &amp; Contracting</t>
  </si>
  <si>
    <t>Jeroen</t>
  </si>
  <si>
    <t>3. Bess development</t>
  </si>
  <si>
    <t>Civil contractor</t>
  </si>
  <si>
    <t>E contractor</t>
  </si>
  <si>
    <t>BESS contractor</t>
  </si>
  <si>
    <t>4. Design &amp; Engineering</t>
  </si>
  <si>
    <t>DJ</t>
  </si>
  <si>
    <t>Design Contractor</t>
  </si>
  <si>
    <t>design freeze</t>
  </si>
  <si>
    <t>DJ/Jeroen</t>
  </si>
  <si>
    <t>5. Control</t>
  </si>
  <si>
    <t>W contractor</t>
  </si>
  <si>
    <t>7. Customer Fit-Out (White Space + MEP)</t>
  </si>
  <si>
    <t xml:space="preserve">Yoni? </t>
  </si>
  <si>
    <t>Ops Contractor</t>
  </si>
  <si>
    <t>(already in BESS CAPEX)</t>
  </si>
  <si>
    <t>FTE EPC</t>
  </si>
  <si>
    <t>PM/Construction Manager</t>
  </si>
  <si>
    <t xml:space="preserve">PM </t>
  </si>
  <si>
    <t>FTE Non-EPC</t>
  </si>
  <si>
    <t>Non EPC</t>
  </si>
  <si>
    <t>Project Management</t>
  </si>
  <si>
    <t>HSE</t>
  </si>
  <si>
    <t>Security</t>
  </si>
  <si>
    <t>Cost Control</t>
  </si>
  <si>
    <t>Co</t>
  </si>
  <si>
    <t>Contingency + Installation</t>
  </si>
  <si>
    <t>Year</t>
  </si>
  <si>
    <t>Start month</t>
  </si>
  <si>
    <t>D</t>
  </si>
  <si>
    <t>C-</t>
  </si>
  <si>
    <t>C</t>
  </si>
  <si>
    <t>Done</t>
  </si>
  <si>
    <t>MW IT</t>
  </si>
  <si>
    <t>Type</t>
  </si>
  <si>
    <t>DC 1 (Powergrow)</t>
  </si>
  <si>
    <t>DC 2 (EPFlora)</t>
  </si>
  <si>
    <t>DC 3</t>
  </si>
  <si>
    <t>non-EPC</t>
  </si>
  <si>
    <t>DC 4</t>
  </si>
  <si>
    <t>DC 5</t>
  </si>
  <si>
    <t>MW Utility</t>
  </si>
  <si>
    <t>BESS 1</t>
  </si>
  <si>
    <t>DC 1</t>
  </si>
  <si>
    <t>BESS 2</t>
  </si>
  <si>
    <t>DC 2</t>
  </si>
  <si>
    <t>BESS 3</t>
  </si>
  <si>
    <t>BESS 4</t>
  </si>
  <si>
    <t>BESS 5</t>
  </si>
  <si>
    <t>BESS 6</t>
  </si>
  <si>
    <t>BESS 7</t>
  </si>
  <si>
    <t>BESS 8</t>
  </si>
  <si>
    <t>BESS 9</t>
  </si>
  <si>
    <t>BESS 10</t>
  </si>
  <si>
    <t>MW</t>
  </si>
  <si>
    <t xml:space="preserve">Max (M€/MW) </t>
  </si>
  <si>
    <t>Sum</t>
  </si>
  <si>
    <t xml:space="preserve">(M€/MW) </t>
  </si>
  <si>
    <t>Total DC</t>
  </si>
  <si>
    <t>Total BESS</t>
  </si>
  <si>
    <t>Grand total</t>
  </si>
  <si>
    <t>M€</t>
  </si>
  <si>
    <t>FTE</t>
  </si>
  <si>
    <t>Active projects</t>
  </si>
  <si>
    <t>Total FTE</t>
  </si>
  <si>
    <t>FTE Cost/M [k€]</t>
  </si>
  <si>
    <t>Total Cost FTE</t>
  </si>
  <si>
    <t>Proje</t>
  </si>
  <si>
    <t>Total FTE Cost</t>
  </si>
  <si>
    <t>[M€]</t>
  </si>
  <si>
    <t>TOTAL FTE</t>
  </si>
  <si>
    <t>Per MW</t>
  </si>
  <si>
    <t>Capital Requirements</t>
  </si>
  <si>
    <t>TOTAL CAPEX</t>
  </si>
  <si>
    <t>IT + BESS</t>
  </si>
  <si>
    <t>EPC Project Staffing Requirements</t>
  </si>
  <si>
    <t>With EPC contractor handling main execution, your team provides oversight and coordination</t>
  </si>
  <si>
    <t>Role</t>
  </si>
  <si>
    <t>FTE Required</t>
  </si>
  <si>
    <t>Responsibilities</t>
  </si>
  <si>
    <t>Contract review, compliance oversight, permit coordination</t>
  </si>
  <si>
    <t>Design review, EPC coordination, testing oversight</t>
  </si>
  <si>
    <t>Site visits, progress monitoring, EPC liaison</t>
  </si>
  <si>
    <t>Cooling system review, water management oversight</t>
  </si>
  <si>
    <t>Schedule tracking, milestone monitoring, stakeholder updates</t>
  </si>
  <si>
    <t>Inspection oversight, quality standards verification</t>
  </si>
  <si>
    <t>Long-lead item tracking, vendor coordination</t>
  </si>
  <si>
    <t>NOTE</t>
  </si>
  <si>
    <t>ONE TIME</t>
  </si>
  <si>
    <t>COORDINATION = PM, TEST = QC, Design = PROGRAM MANAGER</t>
  </si>
  <si>
    <t>PM / CONSTRUCTION MANAGER</t>
  </si>
  <si>
    <t>Self-Managed Project Staffing Requirements</t>
  </si>
  <si>
    <t>Full internal execution requiring comprehensive team across all disciplines</t>
  </si>
  <si>
    <t>Contract negotiation, permitting, regulatory compliance, vendor agreements</t>
  </si>
  <si>
    <t>Full design, power distribution, backup systems, testing &amp; commissioning</t>
  </si>
  <si>
    <t>On-site supervision, contractor management, safety, schedule execution</t>
  </si>
  <si>
    <t>Cooling design, water treatment, HVAC systems, mechanical coordination</t>
  </si>
  <si>
    <t>Master scheduling, resource allocation, critical path management</t>
  </si>
  <si>
    <t>Full inspection program, testing, documentation, standards enforcement</t>
  </si>
  <si>
    <t>Vendor selection, negotiation, logistics, material tracking, cost control</t>
  </si>
  <si>
    <t>Daily rate (external hire) per person</t>
  </si>
  <si>
    <t>Cost/day</t>
  </si>
  <si>
    <t>Health and Safety Manager</t>
  </si>
  <si>
    <t>During construction</t>
  </si>
  <si>
    <t>Cost Control / adminstrative tasks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</si>
</sst>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€&quot;#,##0"/>
    <numFmt numFmtId="165" formatCode="0.0"/>
    <numFmt numFmtId="166" formatCode="&quot;€&quot;#,##0.00"/>
    <numFmt numFmtId="167" formatCode="&quot;$&quot;#,##0.00"/>
  </numFmts>
  <fonts count="10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F3F3F3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Calibri"/>
      <family val="2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8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3"/>
      <color theme="1"/>
      <name val="Arial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  <fill>
      <patternFill patternType="solid">
        <fgColor rgb="FF999999"/>
        <bgColor rgb="FF999999"/>
      </patternFill>
    </fill>
    <fill>
      <patternFill patternType="solid">
        <fgColor rgb="FF6FA8DC"/>
        <bgColor rgb="FF6FA8DC"/>
      </patternFill>
    </fill>
    <fill>
      <patternFill patternType="solid">
        <fgColor rgb="FFFFFFFF"/>
        <bgColor rgb="FFFFFFFF"/>
      </patternFill>
    </fill>
    <fill>
      <patternFill patternType="solid">
        <fgColor rgb="FFB7E1CD"/>
        <bgColor rgb="FFB7E1CD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B6D7A8"/>
        <bgColor rgb="FFB6D7A8"/>
      </patternFill>
    </fill>
    <fill>
      <patternFill patternType="solid">
        <fgColor rgb="FFF9CB9C"/>
        <bgColor rgb="FFF9CB9C"/>
      </patternFill>
    </fill>
  </fills>
  <borders count="4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FF00FF"/>
      </right>
      <top/>
      <bottom/>
      <diagonal/>
    </border>
    <border>
      <left/>
      <right style="thin">
        <color rgb="FFFF0000"/>
      </right>
      <top/>
      <bottom/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0" borderId="0" xfId="0" applyFont="1"/>
    <xf numFmtId="0" fontId="1" fillId="4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6" borderId="0" xfId="0" applyFont="1" applyFill="1"/>
    <xf numFmtId="0" fontId="4" fillId="6" borderId="0" xfId="0" applyFont="1" applyFill="1"/>
    <xf numFmtId="0" fontId="3" fillId="6" borderId="0" xfId="0" applyFont="1" applyFill="1" applyAlignment="1">
      <alignment horizontal="right"/>
    </xf>
    <xf numFmtId="0" fontId="4" fillId="7" borderId="0" xfId="0" applyFont="1" applyFill="1"/>
    <xf numFmtId="0" fontId="3" fillId="0" borderId="0" xfId="0" applyFont="1"/>
    <xf numFmtId="164" fontId="3" fillId="0" borderId="0" xfId="0" applyNumberFormat="1" applyFont="1" applyAlignment="1">
      <alignment horizontal="right"/>
    </xf>
    <xf numFmtId="165" fontId="4" fillId="7" borderId="0" xfId="0" applyNumberFormat="1" applyFont="1" applyFill="1"/>
    <xf numFmtId="166" fontId="3" fillId="7" borderId="0" xfId="0" applyNumberFormat="1" applyFont="1" applyFill="1" applyAlignment="1">
      <alignment horizontal="right"/>
    </xf>
    <xf numFmtId="165" fontId="3" fillId="7" borderId="0" xfId="0" applyNumberFormat="1" applyFont="1" applyFill="1" applyAlignment="1">
      <alignment horizontal="right"/>
    </xf>
    <xf numFmtId="0" fontId="3" fillId="7" borderId="0" xfId="0" applyFont="1" applyFill="1" applyAlignment="1">
      <alignment horizontal="right"/>
    </xf>
    <xf numFmtId="0" fontId="3" fillId="7" borderId="0" xfId="0" applyFont="1" applyFill="1"/>
    <xf numFmtId="9" fontId="3" fillId="7" borderId="0" xfId="0" applyNumberFormat="1" applyFont="1" applyFill="1" applyAlignment="1">
      <alignment horizontal="center"/>
    </xf>
    <xf numFmtId="0" fontId="4" fillId="0" borderId="0" xfId="0" applyFont="1"/>
    <xf numFmtId="0" fontId="3" fillId="7" borderId="2" xfId="0" applyFont="1" applyFill="1" applyBorder="1" applyAlignment="1">
      <alignment horizontal="right"/>
    </xf>
    <xf numFmtId="0" fontId="3" fillId="7" borderId="3" xfId="0" applyFont="1" applyFill="1" applyBorder="1" applyAlignment="1">
      <alignment horizontal="right"/>
    </xf>
    <xf numFmtId="0" fontId="4" fillId="6" borderId="2" xfId="0" applyFont="1" applyFill="1" applyBorder="1"/>
    <xf numFmtId="0" fontId="4" fillId="6" borderId="3" xfId="0" applyFont="1" applyFill="1" applyBorder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3" fillId="8" borderId="0" xfId="0" applyFont="1" applyFill="1" applyAlignment="1">
      <alignment horizontal="right"/>
    </xf>
    <xf numFmtId="0" fontId="4" fillId="0" borderId="2" xfId="0" applyFont="1" applyBorder="1"/>
    <xf numFmtId="0" fontId="4" fillId="0" borderId="3" xfId="0" applyFont="1" applyBorder="1"/>
    <xf numFmtId="0" fontId="4" fillId="7" borderId="2" xfId="0" applyFont="1" applyFill="1" applyBorder="1"/>
    <xf numFmtId="0" fontId="3" fillId="8" borderId="2" xfId="0" applyFont="1" applyFill="1" applyBorder="1" applyAlignment="1">
      <alignment horizontal="right"/>
    </xf>
    <xf numFmtId="0" fontId="4" fillId="7" borderId="3" xfId="0" applyFont="1" applyFill="1" applyBorder="1"/>
    <xf numFmtId="0" fontId="4" fillId="6" borderId="1" xfId="0" applyFont="1" applyFill="1" applyBorder="1"/>
    <xf numFmtId="0" fontId="4" fillId="0" borderId="1" xfId="0" applyFont="1" applyBorder="1"/>
    <xf numFmtId="0" fontId="3" fillId="7" borderId="0" xfId="0" applyFont="1" applyFill="1" applyAlignment="1">
      <alignment horizontal="center"/>
    </xf>
    <xf numFmtId="0" fontId="3" fillId="6" borderId="3" xfId="0" applyFont="1" applyFill="1" applyBorder="1" applyAlignment="1">
      <alignment horizontal="right"/>
    </xf>
    <xf numFmtId="0" fontId="3" fillId="8" borderId="3" xfId="0" applyFont="1" applyFill="1" applyBorder="1" applyAlignment="1">
      <alignment horizontal="right"/>
    </xf>
    <xf numFmtId="0" fontId="1" fillId="0" borderId="2" xfId="0" applyFont="1" applyBorder="1"/>
    <xf numFmtId="0" fontId="1" fillId="0" borderId="3" xfId="0" applyFont="1" applyBorder="1"/>
    <xf numFmtId="165" fontId="4" fillId="6" borderId="0" xfId="0" applyNumberFormat="1" applyFont="1" applyFill="1"/>
    <xf numFmtId="9" fontId="3" fillId="9" borderId="0" xfId="0" applyNumberFormat="1" applyFont="1" applyFill="1" applyAlignment="1">
      <alignment horizontal="right"/>
    </xf>
    <xf numFmtId="0" fontId="4" fillId="9" borderId="0" xfId="0" applyFont="1" applyFill="1"/>
    <xf numFmtId="9" fontId="4" fillId="9" borderId="0" xfId="0" applyNumberFormat="1" applyFont="1" applyFill="1"/>
    <xf numFmtId="0" fontId="4" fillId="9" borderId="2" xfId="0" applyFont="1" applyFill="1" applyBorder="1"/>
    <xf numFmtId="9" fontId="3" fillId="9" borderId="2" xfId="0" applyNumberFormat="1" applyFont="1" applyFill="1" applyBorder="1" applyAlignment="1">
      <alignment horizontal="right"/>
    </xf>
    <xf numFmtId="9" fontId="3" fillId="10" borderId="0" xfId="0" applyNumberFormat="1" applyFont="1" applyFill="1" applyAlignment="1">
      <alignment horizontal="right"/>
    </xf>
    <xf numFmtId="0" fontId="4" fillId="10" borderId="0" xfId="0" applyFont="1" applyFill="1"/>
    <xf numFmtId="0" fontId="4" fillId="10" borderId="2" xfId="0" applyFont="1" applyFill="1" applyBorder="1"/>
    <xf numFmtId="0" fontId="5" fillId="11" borderId="0" xfId="0" applyFont="1" applyFill="1"/>
    <xf numFmtId="0" fontId="4" fillId="6" borderId="0" xfId="0" applyFont="1" applyFill="1" applyAlignment="1">
      <alignment horizontal="center"/>
    </xf>
    <xf numFmtId="164" fontId="3" fillId="12" borderId="0" xfId="0" applyNumberFormat="1" applyFont="1" applyFill="1" applyAlignment="1">
      <alignment horizontal="right"/>
    </xf>
    <xf numFmtId="9" fontId="1" fillId="0" borderId="0" xfId="0" applyNumberFormat="1" applyFont="1" applyAlignment="1">
      <alignment horizontal="center"/>
    </xf>
    <xf numFmtId="9" fontId="1" fillId="0" borderId="1" xfId="0" applyNumberFormat="1" applyFont="1" applyBorder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6" fillId="13" borderId="0" xfId="0" applyFont="1" applyFill="1"/>
    <xf numFmtId="165" fontId="1" fillId="0" borderId="0" xfId="0" applyNumberFormat="1" applyFont="1"/>
    <xf numFmtId="0" fontId="4" fillId="0" borderId="0" xfId="0" applyFont="1" applyAlignment="1">
      <alignment horizontal="center"/>
    </xf>
    <xf numFmtId="165" fontId="4" fillId="0" borderId="0" xfId="0" applyNumberFormat="1" applyFont="1" applyAlignment="1">
      <alignment horizontal="center"/>
    </xf>
    <xf numFmtId="1" fontId="1" fillId="0" borderId="0" xfId="0" applyNumberFormat="1" applyFont="1"/>
    <xf numFmtId="0" fontId="1" fillId="14" borderId="0" xfId="0" applyFont="1" applyFill="1"/>
    <xf numFmtId="1" fontId="1" fillId="14" borderId="0" xfId="0" applyNumberFormat="1" applyFont="1" applyFill="1"/>
    <xf numFmtId="0" fontId="3" fillId="13" borderId="0" xfId="0" applyFont="1" applyFill="1"/>
    <xf numFmtId="0" fontId="4" fillId="13" borderId="0" xfId="0" applyFont="1" applyFill="1"/>
    <xf numFmtId="0" fontId="5" fillId="7" borderId="0" xfId="0" applyFont="1" applyFill="1"/>
    <xf numFmtId="2" fontId="1" fillId="14" borderId="0" xfId="0" applyNumberFormat="1" applyFont="1" applyFill="1"/>
    <xf numFmtId="2" fontId="1" fillId="0" borderId="0" xfId="0" applyNumberFormat="1" applyFont="1"/>
    <xf numFmtId="0" fontId="7" fillId="0" borderId="0" xfId="0" applyFont="1"/>
    <xf numFmtId="0" fontId="5" fillId="0" borderId="0" xfId="0" applyFont="1"/>
    <xf numFmtId="0" fontId="5" fillId="0" borderId="0" xfId="0" applyFont="1" applyAlignment="1">
      <alignment horizontal="center"/>
    </xf>
    <xf numFmtId="0" fontId="5" fillId="11" borderId="0" xfId="0" applyFont="1" applyFill="1" applyAlignment="1">
      <alignment horizontal="center"/>
    </xf>
    <xf numFmtId="0" fontId="1" fillId="11" borderId="0" xfId="0" applyFont="1" applyFill="1"/>
    <xf numFmtId="0" fontId="6" fillId="11" borderId="0" xfId="0" applyFont="1" applyFill="1"/>
    <xf numFmtId="0" fontId="8" fillId="0" borderId="0" xfId="0" applyFont="1"/>
    <xf numFmtId="0" fontId="9" fillId="0" borderId="0" xfId="0" applyFont="1"/>
    <xf numFmtId="167" fontId="1" fillId="0" borderId="0" xfId="0" applyNumberFormat="1" applyFont="1"/>
    <xf numFmtId="0" fontId="1" fillId="0" borderId="0" xfId="0" applyFont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</cellXfs>
  <cellStyles count="1">
    <cellStyle name="Normal" xfId="0" builtinId="0"/>
  </cellStyles>
  <dxfs count="2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U1036"/>
  <sheetViews>
    <sheetView workbookViewId="0">
      <pane xSplit="7" ySplit="3" topLeftCell="H4" activePane="bottomRight" state="frozen"/>
      <selection pane="topRight" activeCell="H1" sqref="H1"/>
      <selection pane="bottomLeft" activeCell="A4" sqref="A4"/>
      <selection pane="bottomRight" activeCell="H4" sqref="H4"/>
    </sheetView>
  </sheetViews>
  <sheetFormatPr baseColWidth="10" defaultColWidth="12.6640625" defaultRowHeight="15.75" customHeight="1" x14ac:dyDescent="0.15"/>
  <cols>
    <col min="1" max="1" width="28.33203125" customWidth="1"/>
    <col min="2" max="2" width="54.5" customWidth="1"/>
    <col min="3" max="5" width="28.1640625" customWidth="1"/>
    <col min="6" max="6" width="7.1640625" customWidth="1"/>
    <col min="7" max="7" width="6.6640625" customWidth="1"/>
    <col min="8" max="8" width="6.1640625" customWidth="1"/>
    <col min="9" max="9" width="3.1640625" customWidth="1"/>
    <col min="10" max="12" width="4.6640625" customWidth="1"/>
    <col min="13" max="13" width="5.6640625" customWidth="1"/>
    <col min="14" max="18" width="4.6640625" customWidth="1"/>
    <col min="19" max="20" width="3.5" customWidth="1"/>
    <col min="21" max="21" width="3" customWidth="1"/>
  </cols>
  <sheetData>
    <row r="1" spans="1:21" ht="15.75" customHeight="1" x14ac:dyDescent="0.15">
      <c r="F1" s="3" t="s">
        <v>10</v>
      </c>
      <c r="G1" s="3"/>
      <c r="H1" s="79" t="s">
        <v>9</v>
      </c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</row>
    <row r="2" spans="1:21" ht="15.75" customHeight="1" x14ac:dyDescent="0.15">
      <c r="A2" s="3"/>
      <c r="B2" s="3"/>
      <c r="C2" s="3"/>
      <c r="D2" s="3"/>
      <c r="E2" s="3"/>
      <c r="F2" s="3"/>
      <c r="G2" s="3"/>
      <c r="H2" s="82" t="s">
        <v>13</v>
      </c>
      <c r="I2" s="80"/>
      <c r="J2" s="83" t="s">
        <v>14</v>
      </c>
      <c r="K2" s="80"/>
      <c r="L2" s="80"/>
      <c r="M2" s="84" t="s">
        <v>15</v>
      </c>
      <c r="N2" s="80"/>
      <c r="O2" s="80"/>
      <c r="P2" s="80"/>
      <c r="Q2" s="80"/>
      <c r="R2" s="80"/>
      <c r="S2" s="80"/>
      <c r="T2" s="80"/>
      <c r="U2" s="80"/>
    </row>
    <row r="3" spans="1:21" ht="15.75" customHeight="1" x14ac:dyDescent="0.15">
      <c r="A3" s="3"/>
      <c r="B3" s="3"/>
      <c r="C3" s="3"/>
      <c r="D3" s="3"/>
      <c r="E3" s="3"/>
      <c r="F3" s="3"/>
      <c r="G3" s="3"/>
      <c r="H3" s="19">
        <v>1</v>
      </c>
      <c r="I3" s="19">
        <f t="shared" ref="I3:U3" si="0">H3+1</f>
        <v>2</v>
      </c>
      <c r="J3" s="19">
        <f t="shared" si="0"/>
        <v>3</v>
      </c>
      <c r="K3" s="19">
        <f t="shared" si="0"/>
        <v>4</v>
      </c>
      <c r="L3" s="19">
        <f t="shared" si="0"/>
        <v>5</v>
      </c>
      <c r="M3" s="19">
        <f t="shared" si="0"/>
        <v>6</v>
      </c>
      <c r="N3" s="19">
        <f t="shared" si="0"/>
        <v>7</v>
      </c>
      <c r="O3" s="19">
        <f t="shared" si="0"/>
        <v>8</v>
      </c>
      <c r="P3" s="23">
        <f t="shared" si="0"/>
        <v>9</v>
      </c>
      <c r="Q3" s="19">
        <f t="shared" si="0"/>
        <v>10</v>
      </c>
      <c r="R3" s="19">
        <f t="shared" si="0"/>
        <v>11</v>
      </c>
      <c r="S3" s="24">
        <f t="shared" si="0"/>
        <v>12</v>
      </c>
      <c r="T3" s="19">
        <f t="shared" si="0"/>
        <v>13</v>
      </c>
      <c r="U3" s="19">
        <f t="shared" si="0"/>
        <v>14</v>
      </c>
    </row>
    <row r="4" spans="1:21" x14ac:dyDescent="0.2">
      <c r="A4" s="10" t="s">
        <v>75</v>
      </c>
      <c r="B4" s="11"/>
      <c r="C4" s="11"/>
      <c r="D4" s="11"/>
      <c r="E4" s="11"/>
      <c r="F4" s="12">
        <v>5</v>
      </c>
      <c r="G4" s="11"/>
      <c r="H4" s="11"/>
      <c r="I4" s="11"/>
      <c r="J4" s="11"/>
      <c r="K4" s="11"/>
      <c r="L4" s="11"/>
      <c r="M4" s="11"/>
      <c r="N4" s="11"/>
      <c r="O4" s="11"/>
      <c r="P4" s="25"/>
      <c r="Q4" s="11"/>
      <c r="R4" s="11"/>
      <c r="S4" s="26"/>
      <c r="T4" s="11"/>
      <c r="U4" s="11"/>
    </row>
    <row r="5" spans="1:21" x14ac:dyDescent="0.2">
      <c r="A5" s="22"/>
      <c r="B5" s="14" t="s">
        <v>21</v>
      </c>
      <c r="C5" s="22"/>
      <c r="D5" s="27" t="s">
        <v>76</v>
      </c>
      <c r="E5" s="27" t="s">
        <v>77</v>
      </c>
      <c r="F5" s="28">
        <v>5</v>
      </c>
      <c r="G5" s="22"/>
      <c r="H5" s="29">
        <v>1</v>
      </c>
      <c r="I5" s="29">
        <v>1</v>
      </c>
      <c r="J5" s="29">
        <v>1</v>
      </c>
      <c r="K5" s="29">
        <v>1</v>
      </c>
      <c r="L5" s="29">
        <v>1</v>
      </c>
      <c r="M5" s="22"/>
      <c r="N5" s="22"/>
      <c r="O5" s="22"/>
      <c r="P5" s="30"/>
      <c r="Q5" s="22"/>
      <c r="R5" s="22"/>
      <c r="S5" s="31"/>
      <c r="T5" s="22"/>
      <c r="U5" s="22"/>
    </row>
    <row r="6" spans="1:21" x14ac:dyDescent="0.2">
      <c r="A6" s="22"/>
      <c r="B6" s="14" t="s">
        <v>20</v>
      </c>
      <c r="C6" s="22"/>
      <c r="D6" s="27"/>
      <c r="E6" s="27"/>
      <c r="F6" s="28"/>
      <c r="G6" s="22"/>
      <c r="H6" s="22"/>
      <c r="I6" s="22">
        <v>1</v>
      </c>
      <c r="J6" s="22">
        <v>1</v>
      </c>
      <c r="K6" s="22"/>
      <c r="L6" s="22"/>
      <c r="M6" s="22"/>
      <c r="N6" s="22"/>
      <c r="O6" s="22"/>
      <c r="P6" s="30"/>
      <c r="Q6" s="22"/>
      <c r="R6" s="22"/>
      <c r="S6" s="31"/>
      <c r="T6" s="22"/>
      <c r="U6" s="22"/>
    </row>
    <row r="7" spans="1:21" x14ac:dyDescent="0.2">
      <c r="A7" s="10" t="s">
        <v>78</v>
      </c>
      <c r="B7" s="11"/>
      <c r="C7" s="11"/>
      <c r="D7" s="11"/>
      <c r="E7" s="11"/>
      <c r="F7" s="12">
        <v>9</v>
      </c>
      <c r="G7" s="11"/>
      <c r="H7" s="11"/>
      <c r="I7" s="11"/>
      <c r="J7" s="11"/>
      <c r="K7" s="11"/>
      <c r="L7" s="11"/>
      <c r="M7" s="11"/>
      <c r="N7" s="11"/>
      <c r="O7" s="11"/>
      <c r="P7" s="25"/>
      <c r="Q7" s="11"/>
      <c r="R7" s="11"/>
      <c r="S7" s="26"/>
      <c r="T7" s="11"/>
      <c r="U7" s="11"/>
    </row>
    <row r="8" spans="1:21" x14ac:dyDescent="0.2">
      <c r="A8" s="22"/>
      <c r="B8" s="14" t="s">
        <v>28</v>
      </c>
      <c r="C8" s="22"/>
      <c r="D8" s="27" t="s">
        <v>79</v>
      </c>
      <c r="E8" s="27" t="s">
        <v>77</v>
      </c>
      <c r="F8" s="28">
        <v>2</v>
      </c>
      <c r="G8" s="22"/>
      <c r="H8" s="22"/>
      <c r="I8" s="29">
        <v>1</v>
      </c>
      <c r="J8" s="22"/>
      <c r="K8" s="22"/>
      <c r="L8" s="22"/>
      <c r="M8" s="22"/>
      <c r="N8" s="22"/>
      <c r="O8" s="13"/>
      <c r="P8" s="32"/>
      <c r="Q8" s="13"/>
      <c r="R8" s="13"/>
      <c r="S8" s="31"/>
      <c r="T8" s="22"/>
      <c r="U8" s="22"/>
    </row>
    <row r="9" spans="1:21" x14ac:dyDescent="0.2">
      <c r="A9" s="22"/>
      <c r="B9" s="14" t="s">
        <v>29</v>
      </c>
      <c r="C9" s="22"/>
      <c r="D9" s="27" t="s">
        <v>79</v>
      </c>
      <c r="E9" s="27" t="s">
        <v>77</v>
      </c>
      <c r="F9" s="28">
        <v>2</v>
      </c>
      <c r="G9" s="22"/>
      <c r="H9" s="22"/>
      <c r="I9" s="29">
        <v>1</v>
      </c>
      <c r="J9" s="22"/>
      <c r="K9" s="22"/>
      <c r="L9" s="22"/>
      <c r="M9" s="22"/>
      <c r="N9" s="22"/>
      <c r="O9" s="13"/>
      <c r="P9" s="32"/>
      <c r="Q9" s="13"/>
      <c r="R9" s="13"/>
      <c r="S9" s="31"/>
      <c r="T9" s="22"/>
      <c r="U9" s="22"/>
    </row>
    <row r="10" spans="1:21" x14ac:dyDescent="0.2">
      <c r="A10" s="13"/>
      <c r="B10" s="20" t="s">
        <v>30</v>
      </c>
      <c r="C10" s="13"/>
      <c r="D10" s="13"/>
      <c r="E10" s="13"/>
      <c r="F10" s="13"/>
      <c r="G10" s="13"/>
      <c r="H10" s="13"/>
      <c r="I10" s="13"/>
      <c r="J10" s="29">
        <v>1</v>
      </c>
      <c r="K10" s="29">
        <v>1</v>
      </c>
      <c r="L10" s="29">
        <v>1</v>
      </c>
      <c r="M10" s="29">
        <v>1</v>
      </c>
      <c r="N10" s="29">
        <v>1</v>
      </c>
      <c r="O10" s="29">
        <v>1</v>
      </c>
      <c r="P10" s="33">
        <v>1</v>
      </c>
      <c r="Q10" s="29">
        <v>1</v>
      </c>
      <c r="R10" s="22"/>
      <c r="S10" s="34"/>
      <c r="T10" s="13"/>
      <c r="U10" s="13"/>
    </row>
    <row r="11" spans="1:21" x14ac:dyDescent="0.2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32"/>
      <c r="Q11" s="13"/>
      <c r="R11" s="13"/>
      <c r="S11" s="34"/>
      <c r="T11" s="13"/>
      <c r="U11" s="13"/>
    </row>
    <row r="12" spans="1:21" x14ac:dyDescent="0.2">
      <c r="A12" s="10" t="s">
        <v>80</v>
      </c>
      <c r="B12" s="11"/>
      <c r="C12" s="11"/>
      <c r="D12" s="11"/>
      <c r="E12" s="11"/>
      <c r="F12" s="12">
        <v>7</v>
      </c>
      <c r="G12" s="35"/>
      <c r="H12" s="11"/>
      <c r="I12" s="11"/>
      <c r="J12" s="11"/>
      <c r="K12" s="11"/>
      <c r="L12" s="11"/>
      <c r="M12" s="11"/>
      <c r="N12" s="11"/>
      <c r="O12" s="11"/>
      <c r="P12" s="25"/>
      <c r="Q12" s="11"/>
      <c r="R12" s="11"/>
      <c r="S12" s="26"/>
      <c r="T12" s="11"/>
      <c r="U12" s="11"/>
    </row>
    <row r="13" spans="1:21" x14ac:dyDescent="0.2">
      <c r="A13" s="22"/>
      <c r="B13" s="14" t="s">
        <v>23</v>
      </c>
      <c r="C13" s="22"/>
      <c r="D13" s="27" t="s">
        <v>81</v>
      </c>
      <c r="E13" s="27" t="s">
        <v>77</v>
      </c>
      <c r="F13" s="28">
        <v>2</v>
      </c>
      <c r="G13" s="36"/>
      <c r="H13" s="22"/>
      <c r="I13" s="22"/>
      <c r="J13" s="22"/>
      <c r="K13" s="22"/>
      <c r="L13" s="22"/>
      <c r="M13" s="29">
        <v>1</v>
      </c>
      <c r="N13" s="29">
        <v>1</v>
      </c>
      <c r="O13" s="22"/>
      <c r="P13" s="30"/>
      <c r="Q13" s="13"/>
      <c r="R13" s="13"/>
      <c r="S13" s="34"/>
      <c r="T13" s="13"/>
      <c r="U13" s="22"/>
    </row>
    <row r="14" spans="1:21" x14ac:dyDescent="0.2">
      <c r="A14" s="22"/>
      <c r="B14" s="14" t="s">
        <v>24</v>
      </c>
      <c r="C14" s="22"/>
      <c r="D14" s="27" t="s">
        <v>82</v>
      </c>
      <c r="E14" s="27" t="s">
        <v>77</v>
      </c>
      <c r="F14" s="28">
        <v>1</v>
      </c>
      <c r="G14" s="36"/>
      <c r="H14" s="22"/>
      <c r="I14" s="22"/>
      <c r="J14" s="22"/>
      <c r="K14" s="22"/>
      <c r="L14" s="22"/>
      <c r="M14" s="22"/>
      <c r="N14" s="29">
        <v>1</v>
      </c>
      <c r="O14" s="22"/>
      <c r="P14" s="30"/>
      <c r="Q14" s="13"/>
      <c r="R14" s="13"/>
      <c r="S14" s="34"/>
      <c r="T14" s="13"/>
      <c r="U14" s="22"/>
    </row>
    <row r="15" spans="1:21" x14ac:dyDescent="0.2">
      <c r="A15" s="22"/>
      <c r="B15" s="14" t="s">
        <v>25</v>
      </c>
      <c r="C15" s="22"/>
      <c r="D15" s="27" t="s">
        <v>83</v>
      </c>
      <c r="E15" s="27" t="s">
        <v>77</v>
      </c>
      <c r="F15" s="28">
        <v>1</v>
      </c>
      <c r="G15" s="36"/>
      <c r="H15" s="22"/>
      <c r="I15" s="29">
        <v>1</v>
      </c>
      <c r="K15" s="22"/>
      <c r="L15" s="22"/>
      <c r="M15" s="22"/>
      <c r="N15" s="22"/>
      <c r="O15" s="22"/>
      <c r="P15" s="30"/>
      <c r="Q15" s="13"/>
      <c r="R15" s="13"/>
      <c r="S15" s="34"/>
      <c r="T15" s="13"/>
      <c r="U15" s="22"/>
    </row>
    <row r="16" spans="1:21" x14ac:dyDescent="0.2">
      <c r="A16" s="22"/>
      <c r="B16" s="14" t="s">
        <v>26</v>
      </c>
      <c r="C16" s="22"/>
      <c r="D16" s="27" t="s">
        <v>83</v>
      </c>
      <c r="E16" s="22"/>
      <c r="F16" s="28">
        <v>5</v>
      </c>
      <c r="G16" s="36"/>
      <c r="H16" s="22"/>
      <c r="I16" s="22"/>
      <c r="J16" s="22"/>
      <c r="K16" s="29">
        <v>1</v>
      </c>
      <c r="L16" s="29">
        <v>1</v>
      </c>
      <c r="M16" s="29">
        <v>1</v>
      </c>
      <c r="N16" s="29">
        <v>1</v>
      </c>
      <c r="O16" s="29">
        <v>1</v>
      </c>
      <c r="P16" s="30"/>
      <c r="Q16" s="13"/>
      <c r="R16" s="13"/>
      <c r="S16" s="34"/>
      <c r="T16" s="13"/>
      <c r="U16" s="22"/>
    </row>
    <row r="17" spans="1:21" x14ac:dyDescent="0.2">
      <c r="A17" s="22"/>
      <c r="B17" s="14" t="s">
        <v>27</v>
      </c>
      <c r="C17" s="22"/>
      <c r="D17" s="27" t="s">
        <v>83</v>
      </c>
      <c r="E17" s="27" t="s">
        <v>77</v>
      </c>
      <c r="F17" s="28">
        <v>1</v>
      </c>
      <c r="G17" s="36"/>
      <c r="H17" s="22"/>
      <c r="I17" s="22"/>
      <c r="J17" s="22"/>
      <c r="K17" s="22"/>
      <c r="L17" s="22"/>
      <c r="M17" s="22"/>
      <c r="N17" s="22"/>
      <c r="O17" s="22"/>
      <c r="P17" s="33">
        <v>1</v>
      </c>
      <c r="Q17" s="13"/>
      <c r="R17" s="13"/>
      <c r="S17" s="34"/>
      <c r="T17" s="13"/>
      <c r="U17" s="22"/>
    </row>
    <row r="18" spans="1:21" x14ac:dyDescent="0.2">
      <c r="A18" s="10" t="s">
        <v>84</v>
      </c>
      <c r="B18" s="11"/>
      <c r="C18" s="11"/>
      <c r="D18" s="11"/>
      <c r="E18" s="11"/>
      <c r="F18" s="12">
        <v>5</v>
      </c>
      <c r="G18" s="11"/>
      <c r="H18" s="11"/>
      <c r="I18" s="11"/>
      <c r="J18" s="11"/>
      <c r="K18" s="11"/>
      <c r="L18" s="11"/>
      <c r="M18" s="11"/>
      <c r="N18" s="11"/>
      <c r="O18" s="11"/>
      <c r="P18" s="25"/>
      <c r="Q18" s="11"/>
      <c r="R18" s="11"/>
      <c r="S18" s="26"/>
      <c r="T18" s="11"/>
      <c r="U18" s="11"/>
    </row>
    <row r="19" spans="1:21" x14ac:dyDescent="0.2">
      <c r="A19" s="22"/>
      <c r="B19" s="14" t="s">
        <v>31</v>
      </c>
      <c r="C19" s="22"/>
      <c r="D19" s="27" t="s">
        <v>76</v>
      </c>
      <c r="E19" s="27" t="s">
        <v>85</v>
      </c>
      <c r="F19" s="28">
        <v>2</v>
      </c>
      <c r="G19" s="22"/>
      <c r="H19" s="29">
        <v>1</v>
      </c>
      <c r="I19" s="29">
        <v>1</v>
      </c>
      <c r="J19" s="22"/>
      <c r="K19" s="22"/>
      <c r="L19" s="22"/>
      <c r="M19" s="22"/>
      <c r="N19" s="22"/>
      <c r="O19" s="22"/>
      <c r="P19" s="30"/>
      <c r="Q19" s="22"/>
      <c r="R19" s="22"/>
      <c r="S19" s="31"/>
      <c r="T19" s="22"/>
      <c r="U19" s="22"/>
    </row>
    <row r="20" spans="1:21" x14ac:dyDescent="0.2">
      <c r="A20" s="22"/>
      <c r="B20" s="14" t="s">
        <v>32</v>
      </c>
      <c r="C20" s="27" t="s">
        <v>0</v>
      </c>
      <c r="D20" s="27" t="s">
        <v>86</v>
      </c>
      <c r="E20" s="27" t="s">
        <v>85</v>
      </c>
      <c r="F20" s="28">
        <v>2</v>
      </c>
      <c r="G20" s="22"/>
      <c r="H20" s="22"/>
      <c r="I20" s="22"/>
      <c r="J20" s="29">
        <v>1</v>
      </c>
      <c r="K20" s="22"/>
      <c r="L20" s="22"/>
      <c r="M20" s="22"/>
      <c r="N20" s="22"/>
      <c r="O20" s="22"/>
      <c r="P20" s="30"/>
      <c r="Q20" s="22"/>
      <c r="R20" s="22"/>
      <c r="S20" s="31"/>
      <c r="T20" s="22"/>
      <c r="U20" s="22"/>
    </row>
    <row r="21" spans="1:21" x14ac:dyDescent="0.2">
      <c r="A21" s="22"/>
      <c r="B21" s="14" t="s">
        <v>33</v>
      </c>
      <c r="C21" s="27" t="s">
        <v>0</v>
      </c>
      <c r="D21" s="27" t="s">
        <v>86</v>
      </c>
      <c r="E21" s="27" t="s">
        <v>85</v>
      </c>
      <c r="F21" s="28">
        <v>4</v>
      </c>
      <c r="G21" s="22"/>
      <c r="H21" s="22"/>
      <c r="I21" s="22"/>
      <c r="J21" s="22"/>
      <c r="K21" s="29">
        <v>1</v>
      </c>
      <c r="L21" s="29">
        <v>1</v>
      </c>
      <c r="M21" s="22"/>
      <c r="N21" s="22"/>
      <c r="O21" s="22"/>
      <c r="P21" s="30"/>
      <c r="Q21" s="22"/>
      <c r="R21" s="22"/>
      <c r="S21" s="31"/>
      <c r="T21" s="22"/>
      <c r="U21" s="22"/>
    </row>
    <row r="22" spans="1:21" x14ac:dyDescent="0.2">
      <c r="A22" s="13"/>
      <c r="B22" s="20" t="s">
        <v>87</v>
      </c>
      <c r="C22" s="13"/>
      <c r="D22" s="13"/>
      <c r="E22" s="37" t="s">
        <v>88</v>
      </c>
      <c r="F22" s="13"/>
      <c r="G22" s="13"/>
      <c r="H22" s="13"/>
      <c r="I22" s="13"/>
      <c r="J22" s="13"/>
      <c r="K22" s="13"/>
      <c r="L22" s="29">
        <v>1</v>
      </c>
      <c r="M22" s="22"/>
      <c r="N22" s="13"/>
      <c r="O22" s="22"/>
      <c r="P22" s="32"/>
      <c r="Q22" s="13"/>
      <c r="R22" s="13"/>
      <c r="S22" s="34"/>
      <c r="T22" s="13"/>
      <c r="U22" s="13"/>
    </row>
    <row r="23" spans="1:21" x14ac:dyDescent="0.2">
      <c r="A23" s="10" t="s">
        <v>89</v>
      </c>
      <c r="B23" s="11"/>
      <c r="C23" s="11"/>
      <c r="D23" s="11"/>
      <c r="E23" s="11"/>
      <c r="F23" s="12">
        <v>7</v>
      </c>
      <c r="G23" s="11"/>
      <c r="H23" s="11"/>
      <c r="I23" s="11"/>
      <c r="J23" s="11"/>
      <c r="K23" s="11"/>
      <c r="L23" s="11"/>
      <c r="M23" s="11"/>
      <c r="N23" s="11"/>
      <c r="O23" s="11"/>
      <c r="P23" s="25"/>
      <c r="Q23" s="11"/>
      <c r="R23" s="11"/>
      <c r="S23" s="26"/>
      <c r="T23" s="11"/>
      <c r="U23" s="11"/>
    </row>
    <row r="24" spans="1:21" x14ac:dyDescent="0.2">
      <c r="A24" s="22"/>
      <c r="B24" s="14" t="s">
        <v>53</v>
      </c>
      <c r="C24" s="22"/>
      <c r="D24" s="22"/>
      <c r="E24" s="27" t="s">
        <v>85</v>
      </c>
      <c r="F24" s="22"/>
      <c r="G24" s="22"/>
      <c r="H24" s="22"/>
      <c r="I24" s="22"/>
      <c r="J24" s="29">
        <v>1</v>
      </c>
      <c r="K24" s="29">
        <v>1</v>
      </c>
      <c r="L24" s="22"/>
      <c r="M24" s="22"/>
      <c r="N24" s="22"/>
      <c r="O24" s="22"/>
      <c r="P24" s="30"/>
      <c r="Q24" s="22"/>
      <c r="R24" s="22"/>
      <c r="S24" s="31"/>
      <c r="T24" s="22"/>
      <c r="U24" s="22"/>
    </row>
    <row r="25" spans="1:21" x14ac:dyDescent="0.2">
      <c r="A25" s="22"/>
      <c r="B25" s="14" t="s">
        <v>54</v>
      </c>
      <c r="C25" s="22"/>
      <c r="D25" s="22"/>
      <c r="E25" s="27" t="s">
        <v>85</v>
      </c>
      <c r="F25" s="22"/>
      <c r="G25" s="22"/>
      <c r="H25" s="22"/>
      <c r="I25" s="22"/>
      <c r="J25" s="22"/>
      <c r="K25" s="22"/>
      <c r="L25" s="22"/>
      <c r="M25" s="29">
        <v>1</v>
      </c>
      <c r="N25" s="29">
        <v>1</v>
      </c>
      <c r="O25" s="22"/>
      <c r="P25" s="30"/>
      <c r="Q25" s="22"/>
      <c r="R25" s="22"/>
      <c r="S25" s="31"/>
      <c r="T25" s="22"/>
      <c r="U25" s="22"/>
    </row>
    <row r="26" spans="1:21" x14ac:dyDescent="0.2">
      <c r="A26" s="22"/>
      <c r="B26" s="14" t="s">
        <v>55</v>
      </c>
      <c r="C26" s="22"/>
      <c r="D26" s="22"/>
      <c r="E26" s="27" t="s">
        <v>85</v>
      </c>
      <c r="F26" s="22"/>
      <c r="G26" s="22"/>
      <c r="H26" s="22"/>
      <c r="I26" s="22"/>
      <c r="J26" s="22"/>
      <c r="K26" s="22"/>
      <c r="L26" s="22"/>
      <c r="M26" s="22"/>
      <c r="N26" s="22"/>
      <c r="O26" s="29">
        <v>1</v>
      </c>
      <c r="P26" s="30"/>
      <c r="Q26" s="22"/>
      <c r="R26" s="22"/>
      <c r="S26" s="31"/>
      <c r="T26" s="22"/>
      <c r="U26" s="22"/>
    </row>
    <row r="27" spans="1:21" x14ac:dyDescent="0.2">
      <c r="A27" s="22"/>
      <c r="B27" s="14" t="s">
        <v>56</v>
      </c>
      <c r="C27" s="22"/>
      <c r="D27" s="22"/>
      <c r="E27" s="27" t="s">
        <v>85</v>
      </c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33">
        <v>1</v>
      </c>
      <c r="Q27" s="22"/>
      <c r="R27" s="22"/>
      <c r="S27" s="31"/>
      <c r="T27" s="22"/>
      <c r="U27" s="22"/>
    </row>
    <row r="28" spans="1:21" x14ac:dyDescent="0.2">
      <c r="A28" s="22"/>
      <c r="B28" s="14" t="s">
        <v>57</v>
      </c>
      <c r="C28" s="22"/>
      <c r="D28" s="22"/>
      <c r="E28" s="27" t="s">
        <v>85</v>
      </c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30"/>
      <c r="Q28" s="22"/>
      <c r="R28" s="22"/>
      <c r="S28" s="31"/>
      <c r="T28" s="22"/>
      <c r="U28" s="22"/>
    </row>
    <row r="29" spans="1:21" x14ac:dyDescent="0.2">
      <c r="A29" s="22"/>
      <c r="B29" s="14" t="s">
        <v>58</v>
      </c>
      <c r="C29" s="22"/>
      <c r="D29" s="22"/>
      <c r="E29" s="27" t="s">
        <v>85</v>
      </c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30"/>
      <c r="Q29" s="22"/>
      <c r="R29" s="22"/>
      <c r="S29" s="31"/>
      <c r="T29" s="22"/>
      <c r="U29" s="22"/>
    </row>
    <row r="30" spans="1:21" x14ac:dyDescent="0.2">
      <c r="A30" s="22"/>
      <c r="B30" s="14" t="s">
        <v>59</v>
      </c>
      <c r="C30" s="22"/>
      <c r="D30" s="22"/>
      <c r="E30" s="27" t="s">
        <v>85</v>
      </c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30"/>
      <c r="Q30" s="22"/>
      <c r="R30" s="22"/>
      <c r="S30" s="31"/>
      <c r="T30" s="22"/>
      <c r="U30" s="22"/>
    </row>
    <row r="31" spans="1:21" x14ac:dyDescent="0.2">
      <c r="A31" s="10" t="s">
        <v>34</v>
      </c>
      <c r="B31" s="11"/>
      <c r="C31" s="11"/>
      <c r="D31" s="11"/>
      <c r="E31" s="11"/>
      <c r="F31" s="12">
        <v>5.5</v>
      </c>
      <c r="G31" s="11"/>
      <c r="H31" s="11"/>
      <c r="I31" s="11"/>
      <c r="J31" s="11"/>
      <c r="K31" s="11"/>
      <c r="L31" s="11"/>
      <c r="M31" s="11"/>
      <c r="N31" s="11"/>
      <c r="O31" s="11"/>
      <c r="P31" s="25"/>
      <c r="Q31" s="11"/>
      <c r="R31" s="11"/>
      <c r="S31" s="26"/>
      <c r="T31" s="11"/>
      <c r="U31" s="11"/>
    </row>
    <row r="32" spans="1:21" x14ac:dyDescent="0.2">
      <c r="A32" s="22"/>
      <c r="B32" s="14" t="s">
        <v>23</v>
      </c>
      <c r="C32" s="27" t="s">
        <v>0</v>
      </c>
      <c r="D32" s="27" t="s">
        <v>81</v>
      </c>
      <c r="E32" s="27" t="s">
        <v>79</v>
      </c>
      <c r="F32" s="28">
        <v>2</v>
      </c>
      <c r="G32" s="22"/>
      <c r="H32" s="22"/>
      <c r="I32" s="22"/>
      <c r="J32" s="22"/>
      <c r="K32" s="22"/>
      <c r="L32" s="22"/>
      <c r="M32" s="29">
        <v>1</v>
      </c>
      <c r="N32" s="22"/>
      <c r="O32" s="22"/>
      <c r="P32" s="30"/>
      <c r="Q32" s="22"/>
      <c r="R32" s="22"/>
      <c r="S32" s="31"/>
      <c r="T32" s="22"/>
      <c r="U32" s="22"/>
    </row>
    <row r="33" spans="1:21" x14ac:dyDescent="0.2">
      <c r="A33" s="22"/>
      <c r="B33" s="14" t="s">
        <v>35</v>
      </c>
      <c r="C33" s="27" t="s">
        <v>0</v>
      </c>
      <c r="D33" s="27" t="s">
        <v>81</v>
      </c>
      <c r="E33" s="27" t="s">
        <v>79</v>
      </c>
      <c r="F33" s="28">
        <v>2</v>
      </c>
      <c r="G33" s="22"/>
      <c r="H33" s="22"/>
      <c r="I33" s="22"/>
      <c r="J33" s="22"/>
      <c r="K33" s="22"/>
      <c r="L33" s="22"/>
      <c r="M33" s="22"/>
      <c r="N33" s="29">
        <v>1</v>
      </c>
      <c r="O33" s="29">
        <v>1</v>
      </c>
      <c r="P33" s="30"/>
      <c r="Q33" s="22"/>
      <c r="R33" s="22"/>
      <c r="S33" s="31"/>
      <c r="T33" s="22"/>
      <c r="U33" s="22"/>
    </row>
    <row r="34" spans="1:21" x14ac:dyDescent="0.2">
      <c r="A34" s="22"/>
      <c r="B34" s="14" t="s">
        <v>36</v>
      </c>
      <c r="C34" s="27" t="s">
        <v>0</v>
      </c>
      <c r="D34" s="27" t="s">
        <v>82</v>
      </c>
      <c r="E34" s="27" t="s">
        <v>79</v>
      </c>
      <c r="F34" s="28">
        <v>1.5</v>
      </c>
      <c r="G34" s="22"/>
      <c r="H34" s="22"/>
      <c r="I34" s="22"/>
      <c r="J34" s="22"/>
      <c r="K34" s="22"/>
      <c r="L34" s="22"/>
      <c r="M34" s="22"/>
      <c r="N34" s="22"/>
      <c r="O34" s="22"/>
      <c r="P34" s="30"/>
      <c r="Q34" s="29">
        <v>1</v>
      </c>
      <c r="R34" s="29">
        <v>0.5</v>
      </c>
      <c r="S34" s="31"/>
      <c r="T34" s="22"/>
      <c r="U34" s="22"/>
    </row>
    <row r="35" spans="1:21" x14ac:dyDescent="0.2">
      <c r="A35" s="22"/>
      <c r="B35" s="14" t="s">
        <v>37</v>
      </c>
      <c r="C35" s="27" t="s">
        <v>0</v>
      </c>
      <c r="D35" s="27" t="s">
        <v>82</v>
      </c>
      <c r="E35" s="27" t="s">
        <v>79</v>
      </c>
      <c r="F35" s="28">
        <v>1.5</v>
      </c>
      <c r="G35" s="22"/>
      <c r="H35" s="22"/>
      <c r="I35" s="22"/>
      <c r="J35" s="22"/>
      <c r="K35" s="22"/>
      <c r="L35" s="22"/>
      <c r="M35" s="22"/>
      <c r="N35" s="22"/>
      <c r="O35" s="22"/>
      <c r="P35" s="30"/>
      <c r="Q35" s="29">
        <v>1</v>
      </c>
      <c r="R35" s="29">
        <v>0.5</v>
      </c>
      <c r="S35" s="31"/>
      <c r="T35" s="22"/>
      <c r="U35" s="22"/>
    </row>
    <row r="36" spans="1:21" x14ac:dyDescent="0.2">
      <c r="A36" s="22"/>
      <c r="B36" s="14" t="s">
        <v>38</v>
      </c>
      <c r="C36" s="27" t="s">
        <v>0</v>
      </c>
      <c r="D36" s="27" t="s">
        <v>90</v>
      </c>
      <c r="E36" s="27" t="s">
        <v>79</v>
      </c>
      <c r="F36" s="28">
        <v>2</v>
      </c>
      <c r="G36" s="22"/>
      <c r="H36" s="22"/>
      <c r="I36" s="22"/>
      <c r="J36" s="22"/>
      <c r="K36" s="22"/>
      <c r="L36" s="22"/>
      <c r="M36" s="22"/>
      <c r="N36" s="22"/>
      <c r="O36" s="22"/>
      <c r="P36" s="30"/>
      <c r="Q36" s="29">
        <v>1</v>
      </c>
      <c r="R36" s="29">
        <v>1</v>
      </c>
      <c r="S36" s="31"/>
      <c r="T36" s="22"/>
      <c r="U36" s="22"/>
    </row>
    <row r="37" spans="1:21" x14ac:dyDescent="0.2">
      <c r="A37" s="22"/>
      <c r="B37" s="14" t="s">
        <v>39</v>
      </c>
      <c r="C37" s="27" t="s">
        <v>0</v>
      </c>
      <c r="D37" s="27" t="s">
        <v>90</v>
      </c>
      <c r="E37" s="27" t="s">
        <v>79</v>
      </c>
      <c r="F37" s="28">
        <v>2</v>
      </c>
      <c r="G37" s="22"/>
      <c r="H37" s="22"/>
      <c r="I37" s="22"/>
      <c r="J37" s="22"/>
      <c r="K37" s="22"/>
      <c r="L37" s="22"/>
      <c r="M37" s="22"/>
      <c r="N37" s="22"/>
      <c r="O37" s="22"/>
      <c r="P37" s="30"/>
      <c r="Q37" s="29">
        <v>1</v>
      </c>
      <c r="R37" s="29">
        <v>1</v>
      </c>
      <c r="S37" s="31"/>
      <c r="T37" s="22"/>
      <c r="U37" s="22"/>
    </row>
    <row r="38" spans="1:21" x14ac:dyDescent="0.2">
      <c r="A38" s="10" t="s">
        <v>91</v>
      </c>
      <c r="B38" s="11"/>
      <c r="C38" s="11"/>
      <c r="D38" s="11"/>
      <c r="E38" s="11"/>
      <c r="F38" s="12">
        <v>1</v>
      </c>
      <c r="G38" s="11"/>
      <c r="H38" s="11"/>
      <c r="I38" s="11"/>
      <c r="J38" s="11"/>
      <c r="K38" s="11"/>
      <c r="L38" s="11"/>
      <c r="M38" s="11"/>
      <c r="N38" s="11"/>
      <c r="O38" s="11"/>
      <c r="P38" s="25"/>
      <c r="Q38" s="11"/>
      <c r="R38" s="11"/>
      <c r="S38" s="38">
        <v>1</v>
      </c>
      <c r="T38" s="11"/>
      <c r="U38" s="22"/>
    </row>
    <row r="39" spans="1:21" x14ac:dyDescent="0.2">
      <c r="A39" s="22"/>
      <c r="B39" s="14" t="s">
        <v>40</v>
      </c>
      <c r="C39" s="27" t="s">
        <v>0</v>
      </c>
      <c r="D39" s="27" t="s">
        <v>81</v>
      </c>
      <c r="E39" s="27" t="s">
        <v>79</v>
      </c>
      <c r="F39" s="28">
        <v>0.5</v>
      </c>
      <c r="G39" s="22"/>
      <c r="H39" s="22"/>
      <c r="I39" s="22"/>
      <c r="J39" s="22"/>
      <c r="K39" s="22"/>
      <c r="L39" s="22"/>
      <c r="M39" s="22"/>
      <c r="N39" s="22"/>
      <c r="O39" s="22"/>
      <c r="P39" s="30"/>
      <c r="Q39" s="22"/>
      <c r="R39" s="22"/>
      <c r="S39" s="39">
        <v>0.5</v>
      </c>
      <c r="T39" s="22"/>
      <c r="U39" s="22"/>
    </row>
    <row r="40" spans="1:21" x14ac:dyDescent="0.2">
      <c r="A40" s="22"/>
      <c r="B40" s="14" t="s">
        <v>41</v>
      </c>
      <c r="C40" s="27" t="s">
        <v>0</v>
      </c>
      <c r="D40" s="27" t="s">
        <v>82</v>
      </c>
      <c r="E40" s="27" t="s">
        <v>79</v>
      </c>
      <c r="F40" s="28">
        <v>1</v>
      </c>
      <c r="G40" s="22"/>
      <c r="H40" s="22"/>
      <c r="I40" s="22"/>
      <c r="J40" s="22"/>
      <c r="K40" s="22"/>
      <c r="L40" s="22"/>
      <c r="M40" s="22"/>
      <c r="N40" s="22"/>
      <c r="O40" s="22"/>
      <c r="P40" s="30"/>
      <c r="Q40" s="22"/>
      <c r="R40" s="22"/>
      <c r="S40" s="39">
        <v>1</v>
      </c>
      <c r="T40" s="22"/>
      <c r="U40" s="22"/>
    </row>
    <row r="41" spans="1:21" x14ac:dyDescent="0.2">
      <c r="A41" s="22"/>
      <c r="B41" s="14" t="s">
        <v>42</v>
      </c>
      <c r="C41" s="27" t="s">
        <v>0</v>
      </c>
      <c r="D41" s="27" t="s">
        <v>90</v>
      </c>
      <c r="E41" s="27" t="s">
        <v>79</v>
      </c>
      <c r="F41" s="28">
        <v>1</v>
      </c>
      <c r="G41" s="22"/>
      <c r="H41" s="22"/>
      <c r="I41" s="22"/>
      <c r="J41" s="22"/>
      <c r="K41" s="22"/>
      <c r="L41" s="22"/>
      <c r="M41" s="22"/>
      <c r="N41" s="22"/>
      <c r="O41" s="22"/>
      <c r="P41" s="30"/>
      <c r="Q41" s="22"/>
      <c r="R41" s="22"/>
      <c r="S41" s="39">
        <v>1</v>
      </c>
      <c r="T41" s="22"/>
      <c r="U41" s="22"/>
    </row>
    <row r="42" spans="1:21" x14ac:dyDescent="0.2">
      <c r="A42" s="22"/>
      <c r="B42" s="14" t="s">
        <v>43</v>
      </c>
      <c r="C42" s="27" t="s">
        <v>0</v>
      </c>
      <c r="D42" s="27" t="s">
        <v>81</v>
      </c>
      <c r="E42" s="27" t="s">
        <v>79</v>
      </c>
      <c r="F42" s="28">
        <v>1</v>
      </c>
      <c r="G42" s="22"/>
      <c r="H42" s="22"/>
      <c r="I42" s="22"/>
      <c r="J42" s="22"/>
      <c r="K42" s="22"/>
      <c r="L42" s="22"/>
      <c r="M42" s="22"/>
      <c r="N42" s="22"/>
      <c r="O42" s="22"/>
      <c r="P42" s="30"/>
      <c r="Q42" s="22"/>
      <c r="R42" s="22"/>
      <c r="S42" s="39">
        <v>1</v>
      </c>
      <c r="T42" s="22"/>
      <c r="U42" s="22"/>
    </row>
    <row r="43" spans="1:21" x14ac:dyDescent="0.2">
      <c r="A43" s="10" t="s">
        <v>44</v>
      </c>
      <c r="B43" s="11"/>
      <c r="C43" s="11"/>
      <c r="D43" s="11"/>
      <c r="E43" s="11"/>
      <c r="F43" s="12">
        <f>SUM(F44:F46)</f>
        <v>1.5</v>
      </c>
      <c r="G43" s="11"/>
      <c r="H43" s="11"/>
      <c r="I43" s="11"/>
      <c r="J43" s="11"/>
      <c r="K43" s="11"/>
      <c r="L43" s="11"/>
      <c r="M43" s="11"/>
      <c r="N43" s="11"/>
      <c r="O43" s="11"/>
      <c r="P43" s="25"/>
      <c r="Q43" s="11"/>
      <c r="R43" s="11"/>
      <c r="S43" s="26"/>
      <c r="T43" s="12">
        <v>1</v>
      </c>
      <c r="U43" s="22"/>
    </row>
    <row r="44" spans="1:21" x14ac:dyDescent="0.2">
      <c r="A44" s="22"/>
      <c r="B44" s="14" t="s">
        <v>45</v>
      </c>
      <c r="C44" s="27" t="s">
        <v>0</v>
      </c>
      <c r="D44" s="27" t="s">
        <v>82</v>
      </c>
      <c r="E44" s="27" t="s">
        <v>92</v>
      </c>
      <c r="F44" s="28">
        <v>0.5</v>
      </c>
      <c r="G44" s="22"/>
      <c r="H44" s="22"/>
      <c r="I44" s="22"/>
      <c r="J44" s="22"/>
      <c r="K44" s="22"/>
      <c r="L44" s="22"/>
      <c r="M44" s="22"/>
      <c r="N44" s="22"/>
      <c r="O44" s="22"/>
      <c r="P44" s="30"/>
      <c r="Q44" s="22"/>
      <c r="R44" s="22"/>
      <c r="S44" s="31"/>
      <c r="T44" s="29">
        <v>0.5</v>
      </c>
      <c r="U44" s="22"/>
    </row>
    <row r="45" spans="1:21" x14ac:dyDescent="0.2">
      <c r="A45" s="22"/>
      <c r="B45" s="14" t="s">
        <v>46</v>
      </c>
      <c r="C45" s="27" t="s">
        <v>0</v>
      </c>
      <c r="D45" s="27" t="s">
        <v>90</v>
      </c>
      <c r="E45" s="27" t="s">
        <v>92</v>
      </c>
      <c r="F45" s="28">
        <v>0.5</v>
      </c>
      <c r="G45" s="22"/>
      <c r="H45" s="22"/>
      <c r="I45" s="22"/>
      <c r="J45" s="22"/>
      <c r="K45" s="22"/>
      <c r="L45" s="22"/>
      <c r="M45" s="22"/>
      <c r="N45" s="22"/>
      <c r="O45" s="22"/>
      <c r="P45" s="30"/>
      <c r="Q45" s="22"/>
      <c r="R45" s="22"/>
      <c r="S45" s="31"/>
      <c r="T45" s="29">
        <v>0.5</v>
      </c>
      <c r="U45" s="22"/>
    </row>
    <row r="46" spans="1:21" x14ac:dyDescent="0.2">
      <c r="A46" s="22"/>
      <c r="B46" s="14" t="s">
        <v>47</v>
      </c>
      <c r="C46" s="27" t="s">
        <v>0</v>
      </c>
      <c r="D46" s="27" t="s">
        <v>93</v>
      </c>
      <c r="E46" s="27" t="s">
        <v>92</v>
      </c>
      <c r="F46" s="28">
        <v>0.5</v>
      </c>
      <c r="G46" s="22"/>
      <c r="H46" s="22"/>
      <c r="I46" s="22"/>
      <c r="J46" s="22"/>
      <c r="K46" s="22"/>
      <c r="L46" s="22"/>
      <c r="M46" s="22"/>
      <c r="N46" s="22"/>
      <c r="O46" s="22"/>
      <c r="P46" s="30"/>
      <c r="Q46" s="22"/>
      <c r="R46" s="22"/>
      <c r="S46" s="31"/>
      <c r="T46" s="29">
        <v>0.5</v>
      </c>
      <c r="U46" s="22"/>
    </row>
    <row r="47" spans="1:21" x14ac:dyDescent="0.2">
      <c r="A47" s="10" t="s">
        <v>48</v>
      </c>
      <c r="B47" s="11"/>
      <c r="C47" s="11"/>
      <c r="D47" s="11"/>
      <c r="E47" s="11"/>
      <c r="F47" s="12">
        <v>4</v>
      </c>
      <c r="G47" s="11"/>
      <c r="H47" s="11"/>
      <c r="I47" s="11"/>
      <c r="J47" s="11"/>
      <c r="K47" s="11"/>
      <c r="L47" s="11"/>
      <c r="M47" s="11"/>
      <c r="N47" s="11"/>
      <c r="O47" s="11"/>
      <c r="P47" s="25"/>
      <c r="Q47" s="11"/>
      <c r="R47" s="12">
        <v>1</v>
      </c>
      <c r="S47" s="38">
        <v>1</v>
      </c>
      <c r="T47" s="12">
        <v>1</v>
      </c>
      <c r="U47" s="12">
        <v>1</v>
      </c>
    </row>
    <row r="48" spans="1:21" x14ac:dyDescent="0.2">
      <c r="A48" s="22"/>
      <c r="B48" s="14" t="s">
        <v>49</v>
      </c>
      <c r="C48" s="27" t="s">
        <v>0</v>
      </c>
      <c r="D48" s="27" t="s">
        <v>93</v>
      </c>
      <c r="E48" s="27" t="s">
        <v>92</v>
      </c>
      <c r="F48" s="28">
        <v>3</v>
      </c>
      <c r="G48" s="22"/>
      <c r="H48" s="22"/>
      <c r="I48" s="22"/>
      <c r="J48" s="22"/>
      <c r="K48" s="22"/>
      <c r="L48" s="22"/>
      <c r="M48" s="22"/>
      <c r="N48" s="22"/>
      <c r="O48" s="22"/>
      <c r="P48" s="30"/>
      <c r="Q48" s="22"/>
      <c r="R48" s="29">
        <v>1</v>
      </c>
      <c r="S48" s="39">
        <v>1</v>
      </c>
      <c r="T48" s="29">
        <v>1</v>
      </c>
      <c r="U48" s="22"/>
    </row>
    <row r="49" spans="1:21" x14ac:dyDescent="0.2">
      <c r="A49" s="22"/>
      <c r="B49" s="14" t="s">
        <v>50</v>
      </c>
      <c r="C49" s="27" t="s">
        <v>0</v>
      </c>
      <c r="D49" s="27" t="s">
        <v>86</v>
      </c>
      <c r="E49" s="27" t="s">
        <v>85</v>
      </c>
      <c r="F49" s="28">
        <v>1</v>
      </c>
      <c r="G49" s="22"/>
      <c r="H49" s="22"/>
      <c r="I49" s="22"/>
      <c r="J49" s="22"/>
      <c r="K49" s="22"/>
      <c r="L49" s="22"/>
      <c r="M49" s="22"/>
      <c r="N49" s="22"/>
      <c r="O49" s="22"/>
      <c r="P49" s="30"/>
      <c r="Q49" s="22"/>
      <c r="R49" s="22"/>
      <c r="S49" s="31"/>
      <c r="T49" s="22"/>
      <c r="U49" s="29">
        <v>1</v>
      </c>
    </row>
    <row r="50" spans="1:21" x14ac:dyDescent="0.2">
      <c r="A50" s="22"/>
      <c r="B50" s="14" t="s">
        <v>51</v>
      </c>
      <c r="C50" s="27" t="s">
        <v>93</v>
      </c>
      <c r="D50" s="27" t="s">
        <v>93</v>
      </c>
      <c r="E50" s="27" t="s">
        <v>92</v>
      </c>
      <c r="F50" s="28">
        <v>1</v>
      </c>
      <c r="G50" s="22"/>
      <c r="H50" s="22"/>
      <c r="I50" s="22"/>
      <c r="J50" s="22"/>
      <c r="K50" s="22"/>
      <c r="L50" s="22"/>
      <c r="M50" s="22"/>
      <c r="N50" s="22"/>
      <c r="O50" s="22"/>
      <c r="P50" s="30"/>
      <c r="Q50" s="22"/>
      <c r="R50" s="22"/>
      <c r="S50" s="31"/>
      <c r="T50" s="29">
        <v>0.5</v>
      </c>
      <c r="U50" s="22"/>
    </row>
    <row r="51" spans="1:21" ht="15.75" customHeight="1" x14ac:dyDescent="0.15">
      <c r="P51" s="40"/>
      <c r="S51" s="41"/>
    </row>
    <row r="52" spans="1:21" ht="15.75" customHeight="1" x14ac:dyDescent="0.15">
      <c r="P52" s="40"/>
      <c r="S52" s="41"/>
    </row>
    <row r="53" spans="1:21" ht="15.75" customHeight="1" x14ac:dyDescent="0.15">
      <c r="P53" s="40"/>
      <c r="S53" s="41"/>
    </row>
    <row r="54" spans="1:21" ht="15.75" customHeight="1" x14ac:dyDescent="0.15">
      <c r="P54" s="40"/>
      <c r="S54" s="41"/>
    </row>
    <row r="55" spans="1:21" ht="15.75" customHeight="1" x14ac:dyDescent="0.15">
      <c r="P55" s="40"/>
      <c r="S55" s="41"/>
    </row>
    <row r="56" spans="1:21" ht="15.75" customHeight="1" x14ac:dyDescent="0.15">
      <c r="P56" s="40"/>
      <c r="S56" s="41"/>
    </row>
    <row r="57" spans="1:21" ht="15.75" customHeight="1" x14ac:dyDescent="0.15">
      <c r="P57" s="40"/>
      <c r="S57" s="41"/>
    </row>
    <row r="58" spans="1:21" x14ac:dyDescent="0.2">
      <c r="A58" s="10" t="s">
        <v>11</v>
      </c>
      <c r="B58" s="11"/>
      <c r="C58" s="11"/>
      <c r="D58" s="11"/>
      <c r="E58" s="11"/>
      <c r="F58" s="12"/>
      <c r="G58" s="11"/>
      <c r="H58" s="42">
        <f t="shared" ref="H58:S58" si="1">SUMPRODUCT($G$59:$G$73,H59:H73)</f>
        <v>0</v>
      </c>
      <c r="I58" s="42">
        <f t="shared" si="1"/>
        <v>0</v>
      </c>
      <c r="J58" s="42">
        <f t="shared" si="1"/>
        <v>15.250158252392342</v>
      </c>
      <c r="K58" s="42">
        <f t="shared" si="1"/>
        <v>0</v>
      </c>
      <c r="L58" s="42">
        <f t="shared" si="1"/>
        <v>0</v>
      </c>
      <c r="M58" s="42">
        <f t="shared" si="1"/>
        <v>12.650126601913879</v>
      </c>
      <c r="N58" s="42">
        <f t="shared" si="1"/>
        <v>0</v>
      </c>
      <c r="O58" s="42">
        <f t="shared" si="1"/>
        <v>0</v>
      </c>
      <c r="P58" s="42">
        <f t="shared" si="1"/>
        <v>0</v>
      </c>
      <c r="Q58" s="42">
        <f t="shared" si="1"/>
        <v>0</v>
      </c>
      <c r="R58" s="42">
        <f t="shared" si="1"/>
        <v>2.6000316504784697</v>
      </c>
      <c r="S58" s="42">
        <f t="shared" si="1"/>
        <v>0</v>
      </c>
      <c r="T58" s="12"/>
      <c r="U58" s="12"/>
    </row>
    <row r="59" spans="1:21" x14ac:dyDescent="0.2">
      <c r="A59" s="13"/>
      <c r="B59" s="14" t="s">
        <v>60</v>
      </c>
      <c r="C59" s="15">
        <v>524001.75757575757</v>
      </c>
      <c r="D59" s="13"/>
      <c r="E59" s="13"/>
      <c r="F59" s="16"/>
      <c r="G59" s="17">
        <f t="shared" ref="G59:G72" si="2">C59*(1+$C$73)/1000000</f>
        <v>0.78600263636363632</v>
      </c>
      <c r="H59" s="13"/>
      <c r="I59" s="13"/>
      <c r="J59" s="43">
        <v>0.5</v>
      </c>
      <c r="K59" s="44"/>
      <c r="L59" s="44"/>
      <c r="M59" s="43">
        <v>0.4</v>
      </c>
      <c r="N59" s="45"/>
      <c r="O59" s="44"/>
      <c r="P59" s="46"/>
      <c r="Q59" s="44"/>
      <c r="R59" s="43">
        <v>0.1</v>
      </c>
      <c r="S59" s="34"/>
      <c r="T59" s="13"/>
      <c r="U59" s="13"/>
    </row>
    <row r="60" spans="1:21" x14ac:dyDescent="0.2">
      <c r="A60" s="13"/>
      <c r="B60" s="14" t="s">
        <v>28</v>
      </c>
      <c r="C60" s="15">
        <v>3000000</v>
      </c>
      <c r="D60" s="13"/>
      <c r="E60" s="13"/>
      <c r="F60" s="16"/>
      <c r="G60" s="17">
        <f t="shared" si="2"/>
        <v>4.5</v>
      </c>
      <c r="H60" s="13"/>
      <c r="I60" s="13"/>
      <c r="J60" s="43">
        <v>0.5</v>
      </c>
      <c r="K60" s="43"/>
      <c r="L60" s="43"/>
      <c r="M60" s="43">
        <v>0.5</v>
      </c>
      <c r="N60" s="43"/>
      <c r="O60" s="43"/>
      <c r="P60" s="47"/>
      <c r="Q60" s="43"/>
      <c r="R60" s="45"/>
      <c r="S60" s="34"/>
      <c r="T60" s="13"/>
      <c r="U60" s="13"/>
    </row>
    <row r="61" spans="1:21" x14ac:dyDescent="0.2">
      <c r="A61" s="13"/>
      <c r="B61" s="14" t="s">
        <v>61</v>
      </c>
      <c r="C61" s="15">
        <v>5400000</v>
      </c>
      <c r="D61" s="13"/>
      <c r="E61" s="13"/>
      <c r="F61" s="16"/>
      <c r="G61" s="17">
        <f t="shared" si="2"/>
        <v>8.1</v>
      </c>
      <c r="H61" s="13"/>
      <c r="I61" s="13"/>
      <c r="J61" s="43">
        <v>0.5</v>
      </c>
      <c r="K61" s="44"/>
      <c r="L61" s="44"/>
      <c r="M61" s="43">
        <v>0.4</v>
      </c>
      <c r="N61" s="45"/>
      <c r="O61" s="44"/>
      <c r="P61" s="46"/>
      <c r="Q61" s="44"/>
      <c r="R61" s="43">
        <v>0.1</v>
      </c>
      <c r="S61" s="34"/>
      <c r="T61" s="13"/>
      <c r="U61" s="13"/>
    </row>
    <row r="62" spans="1:21" x14ac:dyDescent="0.2">
      <c r="A62" s="13"/>
      <c r="B62" s="14" t="s">
        <v>62</v>
      </c>
      <c r="C62" s="15">
        <v>2000000</v>
      </c>
      <c r="D62" s="13"/>
      <c r="E62" s="13"/>
      <c r="F62" s="16"/>
      <c r="G62" s="17">
        <f t="shared" si="2"/>
        <v>3</v>
      </c>
      <c r="H62" s="13"/>
      <c r="I62" s="13"/>
      <c r="J62" s="43">
        <v>0.5</v>
      </c>
      <c r="K62" s="44"/>
      <c r="L62" s="44"/>
      <c r="M62" s="43">
        <v>0.4</v>
      </c>
      <c r="N62" s="45"/>
      <c r="O62" s="44"/>
      <c r="P62" s="46"/>
      <c r="Q62" s="44"/>
      <c r="R62" s="43">
        <v>0.1</v>
      </c>
      <c r="S62" s="34"/>
      <c r="T62" s="13"/>
      <c r="U62" s="13"/>
    </row>
    <row r="63" spans="1:21" x14ac:dyDescent="0.2">
      <c r="A63" s="13"/>
      <c r="B63" s="14" t="s">
        <v>63</v>
      </c>
      <c r="C63" s="15"/>
      <c r="D63" s="13" t="s">
        <v>94</v>
      </c>
      <c r="E63" s="13"/>
      <c r="F63" s="16"/>
      <c r="G63" s="17">
        <f t="shared" si="2"/>
        <v>0</v>
      </c>
      <c r="H63" s="13"/>
      <c r="I63" s="13"/>
      <c r="J63" s="48">
        <v>0.9</v>
      </c>
      <c r="K63" s="49"/>
      <c r="L63" s="49"/>
      <c r="M63" s="49"/>
      <c r="N63" s="49"/>
      <c r="O63" s="49"/>
      <c r="P63" s="50"/>
      <c r="Q63" s="49"/>
      <c r="R63" s="48">
        <v>0.1</v>
      </c>
      <c r="S63" s="34"/>
      <c r="T63" s="13"/>
      <c r="U63" s="13"/>
    </row>
    <row r="64" spans="1:21" x14ac:dyDescent="0.2">
      <c r="A64" s="13"/>
      <c r="B64" s="14" t="s">
        <v>64</v>
      </c>
      <c r="C64" s="15">
        <v>1000000</v>
      </c>
      <c r="D64" s="13"/>
      <c r="E64" s="13"/>
      <c r="F64" s="16"/>
      <c r="G64" s="17">
        <f t="shared" si="2"/>
        <v>1.5</v>
      </c>
      <c r="H64" s="13"/>
      <c r="I64" s="13"/>
      <c r="J64" s="43">
        <v>0.5</v>
      </c>
      <c r="K64" s="44"/>
      <c r="L64" s="44"/>
      <c r="M64" s="43">
        <v>0.4</v>
      </c>
      <c r="N64" s="45"/>
      <c r="O64" s="44"/>
      <c r="P64" s="46"/>
      <c r="Q64" s="44"/>
      <c r="R64" s="43">
        <v>0.1</v>
      </c>
      <c r="S64" s="34"/>
      <c r="T64" s="13"/>
      <c r="U64" s="13"/>
    </row>
    <row r="65" spans="1:21" ht="15" x14ac:dyDescent="0.2">
      <c r="A65" s="13"/>
      <c r="B65" s="14" t="s">
        <v>65</v>
      </c>
      <c r="C65" s="15">
        <v>2000000</v>
      </c>
      <c r="D65" s="13"/>
      <c r="E65" s="13"/>
      <c r="F65" s="16"/>
      <c r="G65" s="17">
        <f t="shared" si="2"/>
        <v>3</v>
      </c>
      <c r="H65" s="13"/>
      <c r="I65" s="13"/>
      <c r="J65" s="43">
        <v>0.5</v>
      </c>
      <c r="K65" s="44"/>
      <c r="L65" s="44"/>
      <c r="M65" s="43">
        <v>0.4</v>
      </c>
      <c r="N65" s="45"/>
      <c r="O65" s="44"/>
      <c r="P65" s="46"/>
      <c r="Q65" s="44"/>
      <c r="R65" s="43">
        <v>0.1</v>
      </c>
      <c r="S65" s="34"/>
      <c r="T65" s="13"/>
      <c r="U65" s="13"/>
    </row>
    <row r="66" spans="1:21" ht="15" x14ac:dyDescent="0.2">
      <c r="A66" s="13"/>
      <c r="B66" s="14" t="s">
        <v>66</v>
      </c>
      <c r="C66" s="15">
        <v>1296000</v>
      </c>
      <c r="D66" s="13"/>
      <c r="E66" s="13"/>
      <c r="F66" s="16"/>
      <c r="G66" s="17">
        <f t="shared" si="2"/>
        <v>1.944</v>
      </c>
      <c r="H66" s="13"/>
      <c r="I66" s="13"/>
      <c r="J66" s="43">
        <v>0.5</v>
      </c>
      <c r="K66" s="44"/>
      <c r="L66" s="44"/>
      <c r="M66" s="43">
        <v>0.4</v>
      </c>
      <c r="N66" s="45"/>
      <c r="O66" s="44"/>
      <c r="P66" s="46"/>
      <c r="Q66" s="44"/>
      <c r="R66" s="43">
        <v>0.1</v>
      </c>
      <c r="S66" s="34"/>
      <c r="T66" s="13"/>
      <c r="U66" s="13"/>
    </row>
    <row r="67" spans="1:21" ht="15" x14ac:dyDescent="0.2">
      <c r="A67" s="13"/>
      <c r="B67" s="14" t="s">
        <v>67</v>
      </c>
      <c r="C67" s="15">
        <v>317911</v>
      </c>
      <c r="D67" s="13"/>
      <c r="E67" s="13"/>
      <c r="F67" s="18">
        <f>33/4.5</f>
        <v>7.333333333333333</v>
      </c>
      <c r="G67" s="17">
        <f t="shared" si="2"/>
        <v>0.47686650000000003</v>
      </c>
      <c r="H67" s="13"/>
      <c r="I67" s="13"/>
      <c r="J67" s="43">
        <v>0.5</v>
      </c>
      <c r="K67" s="44"/>
      <c r="L67" s="44"/>
      <c r="M67" s="43">
        <v>0.4</v>
      </c>
      <c r="N67" s="45"/>
      <c r="O67" s="44"/>
      <c r="P67" s="46"/>
      <c r="Q67" s="44"/>
      <c r="R67" s="43">
        <v>0.1</v>
      </c>
      <c r="S67" s="34"/>
      <c r="T67" s="13"/>
      <c r="U67" s="13"/>
    </row>
    <row r="68" spans="1:21" ht="15" x14ac:dyDescent="0.2">
      <c r="A68" s="13"/>
      <c r="B68" s="14" t="s">
        <v>68</v>
      </c>
      <c r="C68" s="15">
        <v>555631.57894736843</v>
      </c>
      <c r="D68" s="13"/>
      <c r="E68" s="13"/>
      <c r="F68" s="19">
        <v>7</v>
      </c>
      <c r="G68" s="17">
        <f t="shared" si="2"/>
        <v>0.8334473684210526</v>
      </c>
      <c r="H68" s="13"/>
      <c r="I68" s="13"/>
      <c r="J68" s="43">
        <v>0.5</v>
      </c>
      <c r="K68" s="44"/>
      <c r="L68" s="44"/>
      <c r="M68" s="43">
        <v>0.4</v>
      </c>
      <c r="N68" s="45"/>
      <c r="O68" s="44"/>
      <c r="P68" s="46"/>
      <c r="Q68" s="44"/>
      <c r="R68" s="43">
        <v>0.1</v>
      </c>
      <c r="S68" s="34"/>
      <c r="T68" s="13"/>
      <c r="U68" s="13"/>
    </row>
    <row r="69" spans="1:21" ht="15" x14ac:dyDescent="0.2">
      <c r="A69" s="13"/>
      <c r="B69" s="14" t="s">
        <v>69</v>
      </c>
      <c r="C69" s="15">
        <v>480000</v>
      </c>
      <c r="D69" s="13"/>
      <c r="E69" s="13"/>
      <c r="F69" s="13"/>
      <c r="G69" s="17">
        <f t="shared" si="2"/>
        <v>0.72</v>
      </c>
      <c r="H69" s="13"/>
      <c r="I69" s="13"/>
      <c r="J69" s="43">
        <v>0.5</v>
      </c>
      <c r="K69" s="44"/>
      <c r="L69" s="44"/>
      <c r="M69" s="43">
        <v>0.4</v>
      </c>
      <c r="N69" s="45"/>
      <c r="O69" s="44"/>
      <c r="P69" s="46"/>
      <c r="Q69" s="44"/>
      <c r="R69" s="43">
        <v>0.1</v>
      </c>
      <c r="S69" s="34"/>
      <c r="T69" s="13"/>
      <c r="U69" s="13"/>
    </row>
    <row r="70" spans="1:21" ht="15" x14ac:dyDescent="0.2">
      <c r="A70" s="13"/>
      <c r="B70" s="14" t="s">
        <v>70</v>
      </c>
      <c r="C70" s="15">
        <v>960000</v>
      </c>
      <c r="D70" s="13"/>
      <c r="E70" s="13"/>
      <c r="F70" s="13"/>
      <c r="G70" s="17">
        <f t="shared" si="2"/>
        <v>1.44</v>
      </c>
      <c r="H70" s="13"/>
      <c r="I70" s="13"/>
      <c r="J70" s="43">
        <v>0.5</v>
      </c>
      <c r="K70" s="44"/>
      <c r="L70" s="44"/>
      <c r="M70" s="43">
        <v>0.4</v>
      </c>
      <c r="N70" s="45"/>
      <c r="O70" s="44"/>
      <c r="P70" s="46"/>
      <c r="Q70" s="44"/>
      <c r="R70" s="43">
        <v>0.1</v>
      </c>
      <c r="S70" s="34"/>
      <c r="T70" s="13"/>
      <c r="U70" s="13"/>
    </row>
    <row r="71" spans="1:21" ht="15" x14ac:dyDescent="0.2">
      <c r="A71" s="13"/>
      <c r="B71" s="14" t="s">
        <v>71</v>
      </c>
      <c r="C71" s="15">
        <v>2000000</v>
      </c>
      <c r="D71" s="13"/>
      <c r="E71" s="13"/>
      <c r="F71" s="13"/>
      <c r="G71" s="17">
        <f t="shared" si="2"/>
        <v>3</v>
      </c>
      <c r="H71" s="13"/>
      <c r="I71" s="13"/>
      <c r="J71" s="43">
        <v>0.5</v>
      </c>
      <c r="K71" s="44"/>
      <c r="L71" s="44"/>
      <c r="M71" s="43">
        <v>0.4</v>
      </c>
      <c r="N71" s="45"/>
      <c r="O71" s="44"/>
      <c r="P71" s="46"/>
      <c r="Q71" s="44"/>
      <c r="R71" s="43">
        <v>0.1</v>
      </c>
      <c r="S71" s="34"/>
      <c r="T71" s="13"/>
      <c r="U71" s="13"/>
    </row>
    <row r="72" spans="1:21" ht="15" x14ac:dyDescent="0.2">
      <c r="A72" s="13"/>
      <c r="B72" s="14" t="s">
        <v>72</v>
      </c>
      <c r="C72" s="15">
        <v>800000</v>
      </c>
      <c r="D72" s="13"/>
      <c r="E72" s="13"/>
      <c r="F72" s="13"/>
      <c r="G72" s="17">
        <f t="shared" si="2"/>
        <v>1.2</v>
      </c>
      <c r="H72" s="13"/>
      <c r="I72" s="13"/>
      <c r="J72" s="43">
        <v>0.5</v>
      </c>
      <c r="K72" s="44"/>
      <c r="L72" s="44"/>
      <c r="M72" s="43">
        <v>0.4</v>
      </c>
      <c r="N72" s="45"/>
      <c r="O72" s="44"/>
      <c r="P72" s="46"/>
      <c r="Q72" s="44"/>
      <c r="R72" s="43">
        <v>0.1</v>
      </c>
      <c r="S72" s="34"/>
      <c r="T72" s="13"/>
      <c r="U72" s="13"/>
    </row>
    <row r="73" spans="1:21" ht="15" x14ac:dyDescent="0.2">
      <c r="A73" s="13"/>
      <c r="B73" s="20" t="s">
        <v>73</v>
      </c>
      <c r="C73" s="21">
        <v>0.5</v>
      </c>
      <c r="D73" s="13"/>
      <c r="E73" s="13"/>
      <c r="F73" s="13"/>
      <c r="G73" s="22"/>
      <c r="H73" s="13"/>
      <c r="I73" s="13"/>
      <c r="J73" s="43">
        <v>0.5</v>
      </c>
      <c r="K73" s="44"/>
      <c r="L73" s="44"/>
      <c r="M73" s="43">
        <v>0.4</v>
      </c>
      <c r="N73" s="45"/>
      <c r="O73" s="44"/>
      <c r="P73" s="46"/>
      <c r="Q73" s="44"/>
      <c r="R73" s="43">
        <v>0.1</v>
      </c>
      <c r="S73" s="34"/>
      <c r="T73" s="13"/>
      <c r="U73" s="13"/>
    </row>
    <row r="74" spans="1:21" ht="15" x14ac:dyDescent="0.2">
      <c r="A74" s="13"/>
      <c r="B74" s="20" t="s">
        <v>1</v>
      </c>
      <c r="C74" s="22"/>
      <c r="D74" s="22"/>
      <c r="E74" s="22"/>
      <c r="F74" s="22"/>
      <c r="G74" s="17">
        <f>SUM(G59:G72)</f>
        <v>30.500316504784685</v>
      </c>
      <c r="H74" s="13"/>
      <c r="I74" s="13"/>
      <c r="J74" s="13"/>
      <c r="K74" s="13"/>
      <c r="L74" s="13"/>
      <c r="M74" s="13"/>
      <c r="N74" s="13"/>
      <c r="O74" s="13"/>
      <c r="P74" s="32"/>
      <c r="Q74" s="13"/>
      <c r="R74" s="13"/>
      <c r="S74" s="34"/>
      <c r="T74" s="13"/>
      <c r="U74" s="13"/>
    </row>
    <row r="75" spans="1:21" ht="15" x14ac:dyDescent="0.2">
      <c r="A75" s="13"/>
      <c r="B75" s="20" t="s">
        <v>74</v>
      </c>
      <c r="C75" s="13"/>
      <c r="D75" s="13"/>
      <c r="E75" s="13"/>
      <c r="F75" s="13"/>
      <c r="G75" s="17">
        <f>G74/4</f>
        <v>7.6250791261961712</v>
      </c>
      <c r="H75" s="13"/>
      <c r="I75" s="13"/>
      <c r="J75" s="13"/>
      <c r="K75" s="13"/>
      <c r="L75" s="13"/>
      <c r="M75" s="13"/>
      <c r="N75" s="13"/>
      <c r="O75" s="13"/>
      <c r="P75" s="32"/>
      <c r="Q75" s="13"/>
      <c r="R75" s="13"/>
      <c r="S75" s="34"/>
      <c r="T75" s="13"/>
      <c r="U75" s="13"/>
    </row>
    <row r="76" spans="1:21" ht="13" x14ac:dyDescent="0.15">
      <c r="P76" s="40"/>
      <c r="S76" s="41"/>
    </row>
    <row r="77" spans="1:21" ht="13" x14ac:dyDescent="0.15">
      <c r="P77" s="40"/>
      <c r="S77" s="41"/>
    </row>
    <row r="78" spans="1:21" ht="15" x14ac:dyDescent="0.2">
      <c r="A78" s="10" t="s">
        <v>95</v>
      </c>
      <c r="B78" s="11"/>
      <c r="C78" s="11"/>
      <c r="D78" s="11"/>
      <c r="E78" s="11"/>
      <c r="F78" s="12"/>
      <c r="G78" s="11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12"/>
      <c r="U78" s="12"/>
    </row>
    <row r="79" spans="1:21" ht="13" x14ac:dyDescent="0.15">
      <c r="A79" s="51" t="s">
        <v>2</v>
      </c>
      <c r="B79" s="51">
        <v>0.2</v>
      </c>
      <c r="C79" s="3" t="s">
        <v>0</v>
      </c>
      <c r="H79" s="3">
        <f>B79</f>
        <v>0.2</v>
      </c>
      <c r="I79" s="3">
        <f t="shared" ref="I79:K79" si="3">H79</f>
        <v>0.2</v>
      </c>
      <c r="J79" s="3">
        <f t="shared" si="3"/>
        <v>0.2</v>
      </c>
      <c r="K79" s="3">
        <f t="shared" si="3"/>
        <v>0.2</v>
      </c>
      <c r="P79" s="40"/>
      <c r="S79" s="41"/>
    </row>
    <row r="80" spans="1:21" ht="13" x14ac:dyDescent="0.15">
      <c r="A80" s="51" t="s">
        <v>96</v>
      </c>
      <c r="B80" s="51">
        <v>1</v>
      </c>
      <c r="C80" s="3" t="s">
        <v>0</v>
      </c>
      <c r="P80" s="40"/>
      <c r="S80" s="41"/>
    </row>
    <row r="81" spans="1:21" ht="13" x14ac:dyDescent="0.15">
      <c r="A81" s="51" t="s">
        <v>97</v>
      </c>
      <c r="B81" s="51">
        <v>1</v>
      </c>
      <c r="C81" s="3" t="s">
        <v>0</v>
      </c>
      <c r="P81" s="40"/>
      <c r="S81" s="41"/>
    </row>
    <row r="82" spans="1:21" ht="13" x14ac:dyDescent="0.15">
      <c r="A82" s="51" t="s">
        <v>7</v>
      </c>
      <c r="B82" s="51">
        <v>1</v>
      </c>
      <c r="C82" s="3" t="s">
        <v>0</v>
      </c>
      <c r="P82" s="40"/>
      <c r="S82" s="41"/>
    </row>
    <row r="83" spans="1:21" ht="13" x14ac:dyDescent="0.15">
      <c r="A83" s="51" t="s">
        <v>8</v>
      </c>
      <c r="B83" s="51">
        <v>0.5</v>
      </c>
      <c r="C83" s="3" t="s">
        <v>0</v>
      </c>
      <c r="L83" s="3">
        <v>0</v>
      </c>
      <c r="P83" s="40"/>
      <c r="S83" s="41"/>
    </row>
    <row r="84" spans="1:21" ht="13" x14ac:dyDescent="0.15">
      <c r="A84" s="3"/>
      <c r="B84" s="3"/>
      <c r="C84" s="3"/>
      <c r="P84" s="40"/>
      <c r="S84" s="41"/>
    </row>
    <row r="85" spans="1:21" ht="15" x14ac:dyDescent="0.2">
      <c r="A85" s="10" t="s">
        <v>98</v>
      </c>
      <c r="B85" s="11"/>
      <c r="C85" s="11"/>
      <c r="D85" s="11"/>
      <c r="E85" s="11"/>
      <c r="F85" s="12"/>
      <c r="G85" s="11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12"/>
      <c r="U85" s="12"/>
    </row>
    <row r="86" spans="1:21" ht="13" x14ac:dyDescent="0.15">
      <c r="A86" s="51" t="s">
        <v>2</v>
      </c>
      <c r="B86" s="51">
        <v>0.5</v>
      </c>
      <c r="C86" s="3" t="s">
        <v>99</v>
      </c>
      <c r="P86" s="40"/>
      <c r="S86" s="41"/>
    </row>
    <row r="87" spans="1:21" ht="13" x14ac:dyDescent="0.15">
      <c r="A87" s="51" t="s">
        <v>3</v>
      </c>
      <c r="B87" s="51">
        <v>1.5</v>
      </c>
      <c r="C87" s="3" t="s">
        <v>99</v>
      </c>
      <c r="P87" s="40"/>
      <c r="S87" s="41"/>
    </row>
    <row r="88" spans="1:21" ht="13" x14ac:dyDescent="0.15">
      <c r="A88" s="51" t="s">
        <v>4</v>
      </c>
      <c r="B88" s="51">
        <v>1</v>
      </c>
      <c r="C88" s="3" t="s">
        <v>99</v>
      </c>
      <c r="P88" s="40"/>
      <c r="S88" s="41"/>
    </row>
    <row r="89" spans="1:21" ht="13" x14ac:dyDescent="0.15">
      <c r="A89" s="51" t="s">
        <v>5</v>
      </c>
      <c r="B89" s="51">
        <v>1</v>
      </c>
      <c r="C89" s="3" t="s">
        <v>99</v>
      </c>
      <c r="P89" s="40"/>
      <c r="S89" s="41"/>
    </row>
    <row r="90" spans="1:21" ht="13" x14ac:dyDescent="0.15">
      <c r="A90" s="51" t="s">
        <v>100</v>
      </c>
      <c r="B90" s="51">
        <v>1</v>
      </c>
      <c r="C90" s="3" t="s">
        <v>99</v>
      </c>
      <c r="P90" s="40"/>
      <c r="S90" s="41"/>
    </row>
    <row r="91" spans="1:21" ht="13" x14ac:dyDescent="0.15">
      <c r="A91" s="51" t="s">
        <v>7</v>
      </c>
      <c r="B91" s="51">
        <v>1</v>
      </c>
      <c r="C91" s="3" t="s">
        <v>99</v>
      </c>
      <c r="P91" s="40"/>
      <c r="S91" s="41"/>
    </row>
    <row r="92" spans="1:21" ht="13" x14ac:dyDescent="0.15">
      <c r="A92" s="51" t="s">
        <v>8</v>
      </c>
      <c r="B92" s="51">
        <v>1.2</v>
      </c>
      <c r="C92" s="3" t="s">
        <v>99</v>
      </c>
      <c r="P92" s="40"/>
      <c r="S92" s="41"/>
    </row>
    <row r="93" spans="1:21" ht="13" x14ac:dyDescent="0.15">
      <c r="A93" s="51" t="s">
        <v>101</v>
      </c>
      <c r="B93" s="51">
        <v>1</v>
      </c>
      <c r="C93" s="3" t="s">
        <v>99</v>
      </c>
      <c r="P93" s="40"/>
      <c r="S93" s="41"/>
    </row>
    <row r="94" spans="1:21" ht="13" x14ac:dyDescent="0.15">
      <c r="A94" s="51" t="s">
        <v>102</v>
      </c>
      <c r="B94" s="51">
        <v>7</v>
      </c>
      <c r="C94" s="3" t="s">
        <v>99</v>
      </c>
      <c r="P94" s="40"/>
      <c r="S94" s="41"/>
    </row>
    <row r="95" spans="1:21" ht="13" x14ac:dyDescent="0.15">
      <c r="A95" s="51" t="s">
        <v>103</v>
      </c>
      <c r="B95" s="51">
        <v>1</v>
      </c>
      <c r="C95" s="3" t="s">
        <v>99</v>
      </c>
      <c r="P95" s="40"/>
      <c r="S95" s="41"/>
    </row>
    <row r="96" spans="1:21" ht="13" x14ac:dyDescent="0.15">
      <c r="P96" s="40"/>
      <c r="S96" s="41"/>
    </row>
    <row r="97" spans="16:19" ht="13" x14ac:dyDescent="0.15">
      <c r="P97" s="40"/>
      <c r="S97" s="41"/>
    </row>
    <row r="98" spans="16:19" ht="13" x14ac:dyDescent="0.15">
      <c r="P98" s="40"/>
      <c r="S98" s="41"/>
    </row>
    <row r="99" spans="16:19" ht="13" x14ac:dyDescent="0.15">
      <c r="P99" s="40"/>
      <c r="S99" s="41"/>
    </row>
    <row r="100" spans="16:19" ht="13" x14ac:dyDescent="0.15">
      <c r="P100" s="40"/>
      <c r="S100" s="41"/>
    </row>
    <row r="101" spans="16:19" ht="13" x14ac:dyDescent="0.15">
      <c r="P101" s="40"/>
      <c r="S101" s="41"/>
    </row>
    <row r="102" spans="16:19" ht="13" x14ac:dyDescent="0.15">
      <c r="P102" s="40"/>
      <c r="S102" s="41"/>
    </row>
    <row r="103" spans="16:19" ht="13" x14ac:dyDescent="0.15">
      <c r="P103" s="40"/>
      <c r="S103" s="41"/>
    </row>
    <row r="104" spans="16:19" ht="13" x14ac:dyDescent="0.15">
      <c r="P104" s="40"/>
      <c r="S104" s="41"/>
    </row>
    <row r="105" spans="16:19" ht="13" x14ac:dyDescent="0.15">
      <c r="P105" s="40"/>
      <c r="S105" s="41"/>
    </row>
    <row r="106" spans="16:19" ht="13" x14ac:dyDescent="0.15">
      <c r="P106" s="40"/>
      <c r="S106" s="41"/>
    </row>
    <row r="107" spans="16:19" ht="13" x14ac:dyDescent="0.15">
      <c r="P107" s="40"/>
      <c r="S107" s="41"/>
    </row>
    <row r="108" spans="16:19" ht="13" x14ac:dyDescent="0.15">
      <c r="P108" s="40"/>
      <c r="S108" s="41"/>
    </row>
    <row r="109" spans="16:19" ht="13" x14ac:dyDescent="0.15">
      <c r="P109" s="40"/>
      <c r="S109" s="41"/>
    </row>
    <row r="110" spans="16:19" ht="13" x14ac:dyDescent="0.15">
      <c r="P110" s="40"/>
      <c r="S110" s="41"/>
    </row>
    <row r="111" spans="16:19" ht="13" x14ac:dyDescent="0.15">
      <c r="P111" s="40"/>
      <c r="S111" s="41"/>
    </row>
    <row r="112" spans="16:19" ht="13" x14ac:dyDescent="0.15">
      <c r="P112" s="40"/>
      <c r="S112" s="41"/>
    </row>
    <row r="113" spans="16:19" ht="13" x14ac:dyDescent="0.15">
      <c r="P113" s="40"/>
      <c r="S113" s="41"/>
    </row>
    <row r="114" spans="16:19" ht="13" x14ac:dyDescent="0.15">
      <c r="P114" s="40"/>
      <c r="S114" s="41"/>
    </row>
    <row r="115" spans="16:19" ht="13" x14ac:dyDescent="0.15">
      <c r="P115" s="40"/>
      <c r="S115" s="41"/>
    </row>
    <row r="116" spans="16:19" ht="13" x14ac:dyDescent="0.15">
      <c r="P116" s="40"/>
      <c r="S116" s="41"/>
    </row>
    <row r="117" spans="16:19" ht="13" x14ac:dyDescent="0.15">
      <c r="P117" s="40"/>
      <c r="S117" s="41"/>
    </row>
    <row r="118" spans="16:19" ht="13" x14ac:dyDescent="0.15">
      <c r="P118" s="40"/>
      <c r="S118" s="41"/>
    </row>
    <row r="119" spans="16:19" ht="13" x14ac:dyDescent="0.15">
      <c r="P119" s="40"/>
      <c r="S119" s="41"/>
    </row>
    <row r="120" spans="16:19" ht="13" x14ac:dyDescent="0.15">
      <c r="P120" s="40"/>
      <c r="S120" s="41"/>
    </row>
    <row r="121" spans="16:19" ht="13" x14ac:dyDescent="0.15">
      <c r="P121" s="40"/>
      <c r="S121" s="41"/>
    </row>
    <row r="122" spans="16:19" ht="13" x14ac:dyDescent="0.15">
      <c r="P122" s="40"/>
      <c r="S122" s="41"/>
    </row>
    <row r="123" spans="16:19" ht="13" x14ac:dyDescent="0.15">
      <c r="P123" s="40"/>
      <c r="S123" s="41"/>
    </row>
    <row r="124" spans="16:19" ht="13" x14ac:dyDescent="0.15">
      <c r="P124" s="40"/>
      <c r="S124" s="41"/>
    </row>
    <row r="125" spans="16:19" ht="13" x14ac:dyDescent="0.15">
      <c r="P125" s="40"/>
      <c r="S125" s="41"/>
    </row>
    <row r="126" spans="16:19" ht="13" x14ac:dyDescent="0.15">
      <c r="P126" s="40"/>
      <c r="S126" s="41"/>
    </row>
    <row r="127" spans="16:19" ht="13" x14ac:dyDescent="0.15">
      <c r="P127" s="40"/>
      <c r="S127" s="41"/>
    </row>
    <row r="128" spans="16:19" ht="13" x14ac:dyDescent="0.15">
      <c r="P128" s="40"/>
      <c r="S128" s="41"/>
    </row>
    <row r="129" spans="16:19" ht="13" x14ac:dyDescent="0.15">
      <c r="P129" s="40"/>
      <c r="S129" s="41"/>
    </row>
    <row r="130" spans="16:19" ht="13" x14ac:dyDescent="0.15">
      <c r="P130" s="40"/>
      <c r="S130" s="41"/>
    </row>
    <row r="131" spans="16:19" ht="13" x14ac:dyDescent="0.15">
      <c r="P131" s="40"/>
      <c r="S131" s="41"/>
    </row>
    <row r="132" spans="16:19" ht="13" x14ac:dyDescent="0.15">
      <c r="P132" s="40"/>
      <c r="S132" s="41"/>
    </row>
    <row r="133" spans="16:19" ht="13" x14ac:dyDescent="0.15">
      <c r="P133" s="40"/>
      <c r="S133" s="41"/>
    </row>
    <row r="134" spans="16:19" ht="13" x14ac:dyDescent="0.15">
      <c r="P134" s="40"/>
      <c r="S134" s="41"/>
    </row>
    <row r="135" spans="16:19" ht="13" x14ac:dyDescent="0.15">
      <c r="P135" s="40"/>
      <c r="S135" s="41"/>
    </row>
    <row r="136" spans="16:19" ht="13" x14ac:dyDescent="0.15">
      <c r="P136" s="40"/>
      <c r="S136" s="41"/>
    </row>
    <row r="137" spans="16:19" ht="13" x14ac:dyDescent="0.15">
      <c r="P137" s="40"/>
      <c r="S137" s="41"/>
    </row>
    <row r="138" spans="16:19" ht="13" x14ac:dyDescent="0.15">
      <c r="P138" s="40"/>
      <c r="S138" s="41"/>
    </row>
    <row r="139" spans="16:19" ht="13" x14ac:dyDescent="0.15">
      <c r="P139" s="40"/>
      <c r="S139" s="41"/>
    </row>
    <row r="140" spans="16:19" ht="13" x14ac:dyDescent="0.15">
      <c r="P140" s="40"/>
      <c r="S140" s="41"/>
    </row>
    <row r="141" spans="16:19" ht="13" x14ac:dyDescent="0.15">
      <c r="P141" s="40"/>
      <c r="S141" s="41"/>
    </row>
    <row r="142" spans="16:19" ht="13" x14ac:dyDescent="0.15">
      <c r="P142" s="40"/>
      <c r="S142" s="41"/>
    </row>
    <row r="143" spans="16:19" ht="13" x14ac:dyDescent="0.15">
      <c r="P143" s="40"/>
      <c r="S143" s="41"/>
    </row>
    <row r="144" spans="16:19" ht="13" x14ac:dyDescent="0.15">
      <c r="P144" s="40"/>
      <c r="S144" s="41"/>
    </row>
    <row r="145" spans="16:19" ht="13" x14ac:dyDescent="0.15">
      <c r="P145" s="40"/>
      <c r="S145" s="41"/>
    </row>
    <row r="146" spans="16:19" ht="13" x14ac:dyDescent="0.15">
      <c r="P146" s="40"/>
      <c r="S146" s="41"/>
    </row>
    <row r="147" spans="16:19" ht="13" x14ac:dyDescent="0.15">
      <c r="P147" s="40"/>
      <c r="S147" s="41"/>
    </row>
    <row r="148" spans="16:19" ht="13" x14ac:dyDescent="0.15">
      <c r="P148" s="40"/>
      <c r="S148" s="41"/>
    </row>
    <row r="149" spans="16:19" ht="13" x14ac:dyDescent="0.15">
      <c r="P149" s="40"/>
      <c r="S149" s="41"/>
    </row>
    <row r="150" spans="16:19" ht="13" x14ac:dyDescent="0.15">
      <c r="P150" s="40"/>
      <c r="S150" s="41"/>
    </row>
    <row r="151" spans="16:19" ht="13" x14ac:dyDescent="0.15">
      <c r="P151" s="40"/>
      <c r="S151" s="41"/>
    </row>
    <row r="152" spans="16:19" ht="13" x14ac:dyDescent="0.15">
      <c r="P152" s="40"/>
      <c r="S152" s="41"/>
    </row>
    <row r="153" spans="16:19" ht="13" x14ac:dyDescent="0.15">
      <c r="P153" s="40"/>
      <c r="S153" s="41"/>
    </row>
    <row r="154" spans="16:19" ht="13" x14ac:dyDescent="0.15">
      <c r="P154" s="40"/>
      <c r="S154" s="41"/>
    </row>
    <row r="155" spans="16:19" ht="13" x14ac:dyDescent="0.15">
      <c r="P155" s="40"/>
      <c r="S155" s="41"/>
    </row>
    <row r="156" spans="16:19" ht="13" x14ac:dyDescent="0.15">
      <c r="P156" s="40"/>
      <c r="S156" s="41"/>
    </row>
    <row r="157" spans="16:19" ht="13" x14ac:dyDescent="0.15">
      <c r="P157" s="40"/>
      <c r="S157" s="41"/>
    </row>
    <row r="158" spans="16:19" ht="13" x14ac:dyDescent="0.15">
      <c r="P158" s="40"/>
      <c r="S158" s="41"/>
    </row>
    <row r="159" spans="16:19" ht="13" x14ac:dyDescent="0.15">
      <c r="P159" s="40"/>
      <c r="S159" s="41"/>
    </row>
    <row r="160" spans="16:19" ht="13" x14ac:dyDescent="0.15">
      <c r="P160" s="40"/>
      <c r="S160" s="41"/>
    </row>
    <row r="161" spans="16:19" ht="13" x14ac:dyDescent="0.15">
      <c r="P161" s="40"/>
      <c r="S161" s="41"/>
    </row>
    <row r="162" spans="16:19" ht="13" x14ac:dyDescent="0.15">
      <c r="P162" s="40"/>
      <c r="S162" s="41"/>
    </row>
    <row r="163" spans="16:19" ht="13" x14ac:dyDescent="0.15">
      <c r="P163" s="40"/>
      <c r="S163" s="41"/>
    </row>
    <row r="164" spans="16:19" ht="13" x14ac:dyDescent="0.15">
      <c r="P164" s="40"/>
      <c r="S164" s="41"/>
    </row>
    <row r="165" spans="16:19" ht="13" x14ac:dyDescent="0.15">
      <c r="P165" s="40"/>
      <c r="S165" s="41"/>
    </row>
    <row r="166" spans="16:19" ht="13" x14ac:dyDescent="0.15">
      <c r="P166" s="40"/>
      <c r="S166" s="41"/>
    </row>
    <row r="167" spans="16:19" ht="13" x14ac:dyDescent="0.15">
      <c r="P167" s="40"/>
      <c r="S167" s="41"/>
    </row>
    <row r="168" spans="16:19" ht="13" x14ac:dyDescent="0.15">
      <c r="P168" s="40"/>
      <c r="S168" s="41"/>
    </row>
    <row r="169" spans="16:19" ht="13" x14ac:dyDescent="0.15">
      <c r="P169" s="40"/>
      <c r="S169" s="41"/>
    </row>
    <row r="170" spans="16:19" ht="13" x14ac:dyDescent="0.15">
      <c r="P170" s="40"/>
      <c r="S170" s="41"/>
    </row>
    <row r="171" spans="16:19" ht="13" x14ac:dyDescent="0.15">
      <c r="P171" s="40"/>
      <c r="S171" s="41"/>
    </row>
    <row r="172" spans="16:19" ht="13" x14ac:dyDescent="0.15">
      <c r="P172" s="40"/>
      <c r="S172" s="41"/>
    </row>
    <row r="173" spans="16:19" ht="13" x14ac:dyDescent="0.15">
      <c r="P173" s="40"/>
      <c r="S173" s="41"/>
    </row>
    <row r="174" spans="16:19" ht="13" x14ac:dyDescent="0.15">
      <c r="P174" s="40"/>
      <c r="S174" s="41"/>
    </row>
    <row r="175" spans="16:19" ht="13" x14ac:dyDescent="0.15">
      <c r="P175" s="40"/>
      <c r="S175" s="41"/>
    </row>
    <row r="176" spans="16:19" ht="13" x14ac:dyDescent="0.15">
      <c r="P176" s="40"/>
      <c r="S176" s="41"/>
    </row>
    <row r="177" spans="16:19" ht="13" x14ac:dyDescent="0.15">
      <c r="P177" s="40"/>
      <c r="S177" s="41"/>
    </row>
    <row r="178" spans="16:19" ht="13" x14ac:dyDescent="0.15">
      <c r="P178" s="40"/>
      <c r="S178" s="41"/>
    </row>
    <row r="179" spans="16:19" ht="13" x14ac:dyDescent="0.15">
      <c r="P179" s="40"/>
      <c r="S179" s="41"/>
    </row>
    <row r="180" spans="16:19" ht="13" x14ac:dyDescent="0.15">
      <c r="P180" s="40"/>
      <c r="S180" s="41"/>
    </row>
    <row r="181" spans="16:19" ht="13" x14ac:dyDescent="0.15">
      <c r="P181" s="40"/>
      <c r="S181" s="41"/>
    </row>
    <row r="182" spans="16:19" ht="13" x14ac:dyDescent="0.15">
      <c r="P182" s="40"/>
      <c r="S182" s="41"/>
    </row>
    <row r="183" spans="16:19" ht="13" x14ac:dyDescent="0.15">
      <c r="P183" s="40"/>
      <c r="S183" s="41"/>
    </row>
    <row r="184" spans="16:19" ht="13" x14ac:dyDescent="0.15">
      <c r="P184" s="40"/>
      <c r="S184" s="41"/>
    </row>
    <row r="185" spans="16:19" ht="13" x14ac:dyDescent="0.15">
      <c r="P185" s="40"/>
      <c r="S185" s="41"/>
    </row>
    <row r="186" spans="16:19" ht="13" x14ac:dyDescent="0.15">
      <c r="P186" s="40"/>
      <c r="S186" s="41"/>
    </row>
    <row r="187" spans="16:19" ht="13" x14ac:dyDescent="0.15">
      <c r="P187" s="40"/>
      <c r="S187" s="41"/>
    </row>
    <row r="188" spans="16:19" ht="13" x14ac:dyDescent="0.15">
      <c r="P188" s="40"/>
      <c r="S188" s="41"/>
    </row>
    <row r="189" spans="16:19" ht="13" x14ac:dyDescent="0.15">
      <c r="P189" s="40"/>
      <c r="S189" s="41"/>
    </row>
    <row r="190" spans="16:19" ht="13" x14ac:dyDescent="0.15">
      <c r="P190" s="40"/>
      <c r="S190" s="41"/>
    </row>
    <row r="191" spans="16:19" ht="13" x14ac:dyDescent="0.15">
      <c r="P191" s="40"/>
      <c r="S191" s="41"/>
    </row>
    <row r="192" spans="16:19" ht="13" x14ac:dyDescent="0.15">
      <c r="P192" s="40"/>
      <c r="S192" s="41"/>
    </row>
    <row r="193" spans="16:19" ht="13" x14ac:dyDescent="0.15">
      <c r="P193" s="40"/>
      <c r="S193" s="41"/>
    </row>
    <row r="194" spans="16:19" ht="13" x14ac:dyDescent="0.15">
      <c r="P194" s="40"/>
      <c r="S194" s="41"/>
    </row>
    <row r="195" spans="16:19" ht="13" x14ac:dyDescent="0.15">
      <c r="P195" s="40"/>
      <c r="S195" s="41"/>
    </row>
    <row r="196" spans="16:19" ht="13" x14ac:dyDescent="0.15">
      <c r="P196" s="40"/>
      <c r="S196" s="41"/>
    </row>
    <row r="197" spans="16:19" ht="13" x14ac:dyDescent="0.15">
      <c r="P197" s="40"/>
      <c r="S197" s="41"/>
    </row>
    <row r="198" spans="16:19" ht="13" x14ac:dyDescent="0.15">
      <c r="P198" s="40"/>
      <c r="S198" s="41"/>
    </row>
    <row r="199" spans="16:19" ht="13" x14ac:dyDescent="0.15">
      <c r="P199" s="40"/>
      <c r="S199" s="41"/>
    </row>
    <row r="200" spans="16:19" ht="13" x14ac:dyDescent="0.15">
      <c r="P200" s="40"/>
      <c r="S200" s="41"/>
    </row>
    <row r="201" spans="16:19" ht="13" x14ac:dyDescent="0.15">
      <c r="P201" s="40"/>
      <c r="S201" s="41"/>
    </row>
    <row r="202" spans="16:19" ht="13" x14ac:dyDescent="0.15">
      <c r="P202" s="40"/>
      <c r="S202" s="41"/>
    </row>
    <row r="203" spans="16:19" ht="13" x14ac:dyDescent="0.15">
      <c r="P203" s="40"/>
      <c r="S203" s="41"/>
    </row>
    <row r="204" spans="16:19" ht="13" x14ac:dyDescent="0.15">
      <c r="P204" s="40"/>
      <c r="S204" s="41"/>
    </row>
    <row r="205" spans="16:19" ht="13" x14ac:dyDescent="0.15">
      <c r="P205" s="40"/>
      <c r="S205" s="41"/>
    </row>
    <row r="206" spans="16:19" ht="13" x14ac:dyDescent="0.15">
      <c r="P206" s="40"/>
      <c r="S206" s="41"/>
    </row>
    <row r="207" spans="16:19" ht="13" x14ac:dyDescent="0.15">
      <c r="P207" s="40"/>
      <c r="S207" s="41"/>
    </row>
    <row r="208" spans="16:19" ht="13" x14ac:dyDescent="0.15">
      <c r="P208" s="40"/>
      <c r="S208" s="41"/>
    </row>
    <row r="209" spans="16:19" ht="13" x14ac:dyDescent="0.15">
      <c r="P209" s="40"/>
      <c r="S209" s="41"/>
    </row>
    <row r="210" spans="16:19" ht="13" x14ac:dyDescent="0.15">
      <c r="P210" s="40"/>
      <c r="S210" s="41"/>
    </row>
    <row r="211" spans="16:19" ht="13" x14ac:dyDescent="0.15">
      <c r="P211" s="40"/>
      <c r="S211" s="41"/>
    </row>
    <row r="212" spans="16:19" ht="13" x14ac:dyDescent="0.15">
      <c r="P212" s="40"/>
      <c r="S212" s="41"/>
    </row>
    <row r="213" spans="16:19" ht="13" x14ac:dyDescent="0.15">
      <c r="P213" s="40"/>
      <c r="S213" s="41"/>
    </row>
    <row r="214" spans="16:19" ht="13" x14ac:dyDescent="0.15">
      <c r="P214" s="40"/>
      <c r="S214" s="41"/>
    </row>
    <row r="215" spans="16:19" ht="13" x14ac:dyDescent="0.15">
      <c r="P215" s="40"/>
      <c r="S215" s="41"/>
    </row>
    <row r="216" spans="16:19" ht="13" x14ac:dyDescent="0.15">
      <c r="P216" s="40"/>
      <c r="S216" s="41"/>
    </row>
    <row r="217" spans="16:19" ht="13" x14ac:dyDescent="0.15">
      <c r="P217" s="40"/>
      <c r="S217" s="41"/>
    </row>
    <row r="218" spans="16:19" ht="13" x14ac:dyDescent="0.15">
      <c r="P218" s="40"/>
      <c r="S218" s="41"/>
    </row>
    <row r="219" spans="16:19" ht="13" x14ac:dyDescent="0.15">
      <c r="P219" s="40"/>
      <c r="S219" s="41"/>
    </row>
    <row r="220" spans="16:19" ht="13" x14ac:dyDescent="0.15">
      <c r="P220" s="40"/>
      <c r="S220" s="41"/>
    </row>
    <row r="221" spans="16:19" ht="13" x14ac:dyDescent="0.15">
      <c r="P221" s="40"/>
      <c r="S221" s="41"/>
    </row>
    <row r="222" spans="16:19" ht="13" x14ac:dyDescent="0.15">
      <c r="P222" s="40"/>
      <c r="S222" s="41"/>
    </row>
    <row r="223" spans="16:19" ht="13" x14ac:dyDescent="0.15">
      <c r="P223" s="40"/>
      <c r="S223" s="41"/>
    </row>
    <row r="224" spans="16:19" ht="13" x14ac:dyDescent="0.15">
      <c r="P224" s="40"/>
      <c r="S224" s="41"/>
    </row>
    <row r="225" spans="16:19" ht="13" x14ac:dyDescent="0.15">
      <c r="P225" s="40"/>
      <c r="S225" s="41"/>
    </row>
    <row r="226" spans="16:19" ht="13" x14ac:dyDescent="0.15">
      <c r="P226" s="40"/>
      <c r="S226" s="41"/>
    </row>
    <row r="227" spans="16:19" ht="13" x14ac:dyDescent="0.15">
      <c r="P227" s="40"/>
      <c r="S227" s="41"/>
    </row>
    <row r="228" spans="16:19" ht="13" x14ac:dyDescent="0.15">
      <c r="P228" s="40"/>
      <c r="S228" s="41"/>
    </row>
    <row r="229" spans="16:19" ht="13" x14ac:dyDescent="0.15">
      <c r="P229" s="40"/>
      <c r="S229" s="41"/>
    </row>
    <row r="230" spans="16:19" ht="13" x14ac:dyDescent="0.15">
      <c r="P230" s="40"/>
      <c r="S230" s="41"/>
    </row>
    <row r="231" spans="16:19" ht="13" x14ac:dyDescent="0.15">
      <c r="P231" s="40"/>
      <c r="S231" s="41"/>
    </row>
    <row r="232" spans="16:19" ht="13" x14ac:dyDescent="0.15">
      <c r="P232" s="40"/>
      <c r="S232" s="41"/>
    </row>
    <row r="233" spans="16:19" ht="13" x14ac:dyDescent="0.15">
      <c r="P233" s="40"/>
      <c r="S233" s="41"/>
    </row>
    <row r="234" spans="16:19" ht="13" x14ac:dyDescent="0.15">
      <c r="P234" s="40"/>
      <c r="S234" s="41"/>
    </row>
    <row r="235" spans="16:19" ht="13" x14ac:dyDescent="0.15">
      <c r="P235" s="40"/>
      <c r="S235" s="41"/>
    </row>
    <row r="236" spans="16:19" ht="13" x14ac:dyDescent="0.15">
      <c r="P236" s="40"/>
      <c r="S236" s="41"/>
    </row>
    <row r="237" spans="16:19" ht="13" x14ac:dyDescent="0.15">
      <c r="P237" s="40"/>
      <c r="S237" s="41"/>
    </row>
    <row r="238" spans="16:19" ht="13" x14ac:dyDescent="0.15">
      <c r="P238" s="40"/>
      <c r="S238" s="41"/>
    </row>
    <row r="239" spans="16:19" ht="13" x14ac:dyDescent="0.15">
      <c r="P239" s="40"/>
      <c r="S239" s="41"/>
    </row>
    <row r="240" spans="16:19" ht="13" x14ac:dyDescent="0.15">
      <c r="P240" s="40"/>
      <c r="S240" s="41"/>
    </row>
    <row r="241" spans="16:19" ht="13" x14ac:dyDescent="0.15">
      <c r="P241" s="40"/>
      <c r="S241" s="41"/>
    </row>
    <row r="242" spans="16:19" ht="13" x14ac:dyDescent="0.15">
      <c r="P242" s="40"/>
      <c r="S242" s="41"/>
    </row>
    <row r="243" spans="16:19" ht="13" x14ac:dyDescent="0.15">
      <c r="P243" s="40"/>
      <c r="S243" s="41"/>
    </row>
    <row r="244" spans="16:19" ht="13" x14ac:dyDescent="0.15">
      <c r="P244" s="40"/>
      <c r="S244" s="41"/>
    </row>
    <row r="245" spans="16:19" ht="13" x14ac:dyDescent="0.15">
      <c r="P245" s="40"/>
      <c r="S245" s="41"/>
    </row>
    <row r="246" spans="16:19" ht="13" x14ac:dyDescent="0.15">
      <c r="P246" s="40"/>
      <c r="S246" s="41"/>
    </row>
    <row r="247" spans="16:19" ht="13" x14ac:dyDescent="0.15">
      <c r="P247" s="40"/>
      <c r="S247" s="41"/>
    </row>
    <row r="248" spans="16:19" ht="13" x14ac:dyDescent="0.15">
      <c r="P248" s="40"/>
      <c r="S248" s="41"/>
    </row>
    <row r="249" spans="16:19" ht="13" x14ac:dyDescent="0.15">
      <c r="P249" s="40"/>
      <c r="S249" s="41"/>
    </row>
    <row r="250" spans="16:19" ht="13" x14ac:dyDescent="0.15">
      <c r="P250" s="40"/>
      <c r="S250" s="41"/>
    </row>
    <row r="251" spans="16:19" ht="13" x14ac:dyDescent="0.15">
      <c r="P251" s="40"/>
      <c r="S251" s="41"/>
    </row>
    <row r="252" spans="16:19" ht="13" x14ac:dyDescent="0.15">
      <c r="P252" s="40"/>
      <c r="S252" s="41"/>
    </row>
    <row r="253" spans="16:19" ht="13" x14ac:dyDescent="0.15">
      <c r="P253" s="40"/>
      <c r="S253" s="41"/>
    </row>
    <row r="254" spans="16:19" ht="13" x14ac:dyDescent="0.15">
      <c r="P254" s="40"/>
      <c r="S254" s="41"/>
    </row>
    <row r="255" spans="16:19" ht="13" x14ac:dyDescent="0.15">
      <c r="P255" s="40"/>
      <c r="S255" s="41"/>
    </row>
    <row r="256" spans="16:19" ht="13" x14ac:dyDescent="0.15">
      <c r="P256" s="40"/>
      <c r="S256" s="41"/>
    </row>
    <row r="257" spans="16:19" ht="13" x14ac:dyDescent="0.15">
      <c r="P257" s="40"/>
      <c r="S257" s="41"/>
    </row>
    <row r="258" spans="16:19" ht="13" x14ac:dyDescent="0.15">
      <c r="P258" s="40"/>
      <c r="S258" s="41"/>
    </row>
    <row r="259" spans="16:19" ht="13" x14ac:dyDescent="0.15">
      <c r="P259" s="40"/>
      <c r="S259" s="41"/>
    </row>
    <row r="260" spans="16:19" ht="13" x14ac:dyDescent="0.15">
      <c r="P260" s="40"/>
      <c r="S260" s="41"/>
    </row>
    <row r="261" spans="16:19" ht="13" x14ac:dyDescent="0.15">
      <c r="P261" s="40"/>
      <c r="S261" s="41"/>
    </row>
    <row r="262" spans="16:19" ht="13" x14ac:dyDescent="0.15">
      <c r="P262" s="40"/>
      <c r="S262" s="41"/>
    </row>
    <row r="263" spans="16:19" ht="13" x14ac:dyDescent="0.15">
      <c r="P263" s="40"/>
      <c r="S263" s="41"/>
    </row>
    <row r="264" spans="16:19" ht="13" x14ac:dyDescent="0.15">
      <c r="P264" s="40"/>
      <c r="S264" s="41"/>
    </row>
    <row r="265" spans="16:19" ht="13" x14ac:dyDescent="0.15">
      <c r="P265" s="40"/>
      <c r="S265" s="41"/>
    </row>
    <row r="266" spans="16:19" ht="13" x14ac:dyDescent="0.15">
      <c r="P266" s="40"/>
      <c r="S266" s="41"/>
    </row>
    <row r="267" spans="16:19" ht="13" x14ac:dyDescent="0.15">
      <c r="P267" s="40"/>
      <c r="S267" s="41"/>
    </row>
    <row r="268" spans="16:19" ht="13" x14ac:dyDescent="0.15">
      <c r="P268" s="40"/>
      <c r="S268" s="41"/>
    </row>
    <row r="269" spans="16:19" ht="13" x14ac:dyDescent="0.15">
      <c r="P269" s="40"/>
      <c r="S269" s="41"/>
    </row>
    <row r="270" spans="16:19" ht="13" x14ac:dyDescent="0.15">
      <c r="P270" s="40"/>
      <c r="S270" s="41"/>
    </row>
    <row r="271" spans="16:19" ht="13" x14ac:dyDescent="0.15">
      <c r="P271" s="40"/>
      <c r="S271" s="41"/>
    </row>
    <row r="272" spans="16:19" ht="13" x14ac:dyDescent="0.15">
      <c r="P272" s="40"/>
      <c r="S272" s="41"/>
    </row>
    <row r="273" spans="16:19" ht="13" x14ac:dyDescent="0.15">
      <c r="P273" s="40"/>
      <c r="S273" s="41"/>
    </row>
    <row r="274" spans="16:19" ht="13" x14ac:dyDescent="0.15">
      <c r="P274" s="40"/>
      <c r="S274" s="41"/>
    </row>
    <row r="275" spans="16:19" ht="13" x14ac:dyDescent="0.15">
      <c r="P275" s="40"/>
      <c r="S275" s="41"/>
    </row>
    <row r="276" spans="16:19" ht="13" x14ac:dyDescent="0.15">
      <c r="P276" s="40"/>
      <c r="S276" s="41"/>
    </row>
    <row r="277" spans="16:19" ht="13" x14ac:dyDescent="0.15">
      <c r="P277" s="40"/>
      <c r="S277" s="41"/>
    </row>
    <row r="278" spans="16:19" ht="13" x14ac:dyDescent="0.15">
      <c r="P278" s="40"/>
      <c r="S278" s="41"/>
    </row>
    <row r="279" spans="16:19" ht="13" x14ac:dyDescent="0.15">
      <c r="P279" s="40"/>
      <c r="S279" s="41"/>
    </row>
    <row r="280" spans="16:19" ht="13" x14ac:dyDescent="0.15">
      <c r="P280" s="40"/>
      <c r="S280" s="41"/>
    </row>
    <row r="281" spans="16:19" ht="13" x14ac:dyDescent="0.15">
      <c r="P281" s="40"/>
      <c r="S281" s="41"/>
    </row>
    <row r="282" spans="16:19" ht="13" x14ac:dyDescent="0.15">
      <c r="P282" s="40"/>
      <c r="S282" s="41"/>
    </row>
    <row r="283" spans="16:19" ht="13" x14ac:dyDescent="0.15">
      <c r="P283" s="40"/>
      <c r="S283" s="41"/>
    </row>
    <row r="284" spans="16:19" ht="13" x14ac:dyDescent="0.15">
      <c r="P284" s="40"/>
      <c r="S284" s="41"/>
    </row>
    <row r="285" spans="16:19" ht="13" x14ac:dyDescent="0.15">
      <c r="P285" s="40"/>
      <c r="S285" s="41"/>
    </row>
    <row r="286" spans="16:19" ht="13" x14ac:dyDescent="0.15">
      <c r="P286" s="40"/>
      <c r="S286" s="41"/>
    </row>
    <row r="287" spans="16:19" ht="13" x14ac:dyDescent="0.15">
      <c r="P287" s="40"/>
      <c r="S287" s="41"/>
    </row>
    <row r="288" spans="16:19" ht="13" x14ac:dyDescent="0.15">
      <c r="P288" s="40"/>
      <c r="S288" s="41"/>
    </row>
    <row r="289" spans="16:19" ht="13" x14ac:dyDescent="0.15">
      <c r="P289" s="40"/>
      <c r="S289" s="41"/>
    </row>
    <row r="290" spans="16:19" ht="13" x14ac:dyDescent="0.15">
      <c r="P290" s="40"/>
      <c r="S290" s="41"/>
    </row>
    <row r="291" spans="16:19" ht="13" x14ac:dyDescent="0.15">
      <c r="P291" s="40"/>
      <c r="S291" s="41"/>
    </row>
    <row r="292" spans="16:19" ht="13" x14ac:dyDescent="0.15">
      <c r="P292" s="40"/>
      <c r="S292" s="41"/>
    </row>
    <row r="293" spans="16:19" ht="13" x14ac:dyDescent="0.15">
      <c r="P293" s="40"/>
      <c r="S293" s="41"/>
    </row>
    <row r="294" spans="16:19" ht="13" x14ac:dyDescent="0.15">
      <c r="P294" s="40"/>
      <c r="S294" s="41"/>
    </row>
    <row r="295" spans="16:19" ht="13" x14ac:dyDescent="0.15">
      <c r="P295" s="40"/>
      <c r="S295" s="41"/>
    </row>
    <row r="296" spans="16:19" ht="13" x14ac:dyDescent="0.15">
      <c r="P296" s="40"/>
      <c r="S296" s="41"/>
    </row>
    <row r="297" spans="16:19" ht="13" x14ac:dyDescent="0.15">
      <c r="P297" s="40"/>
      <c r="S297" s="41"/>
    </row>
    <row r="298" spans="16:19" ht="13" x14ac:dyDescent="0.15">
      <c r="P298" s="40"/>
      <c r="S298" s="41"/>
    </row>
    <row r="299" spans="16:19" ht="13" x14ac:dyDescent="0.15">
      <c r="P299" s="40"/>
      <c r="S299" s="41"/>
    </row>
    <row r="300" spans="16:19" ht="13" x14ac:dyDescent="0.15">
      <c r="P300" s="40"/>
      <c r="S300" s="41"/>
    </row>
    <row r="301" spans="16:19" ht="13" x14ac:dyDescent="0.15">
      <c r="P301" s="40"/>
      <c r="S301" s="41"/>
    </row>
    <row r="302" spans="16:19" ht="13" x14ac:dyDescent="0.15">
      <c r="P302" s="40"/>
      <c r="S302" s="41"/>
    </row>
    <row r="303" spans="16:19" ht="13" x14ac:dyDescent="0.15">
      <c r="P303" s="40"/>
      <c r="S303" s="41"/>
    </row>
    <row r="304" spans="16:19" ht="13" x14ac:dyDescent="0.15">
      <c r="P304" s="40"/>
      <c r="S304" s="41"/>
    </row>
    <row r="305" spans="16:19" ht="13" x14ac:dyDescent="0.15">
      <c r="P305" s="40"/>
      <c r="S305" s="41"/>
    </row>
    <row r="306" spans="16:19" ht="13" x14ac:dyDescent="0.15">
      <c r="P306" s="40"/>
      <c r="S306" s="41"/>
    </row>
    <row r="307" spans="16:19" ht="13" x14ac:dyDescent="0.15">
      <c r="P307" s="40"/>
      <c r="S307" s="41"/>
    </row>
    <row r="308" spans="16:19" ht="13" x14ac:dyDescent="0.15">
      <c r="P308" s="40"/>
      <c r="S308" s="41"/>
    </row>
    <row r="309" spans="16:19" ht="13" x14ac:dyDescent="0.15">
      <c r="P309" s="40"/>
      <c r="S309" s="41"/>
    </row>
    <row r="310" spans="16:19" ht="13" x14ac:dyDescent="0.15">
      <c r="P310" s="40"/>
      <c r="S310" s="41"/>
    </row>
    <row r="311" spans="16:19" ht="13" x14ac:dyDescent="0.15">
      <c r="P311" s="40"/>
      <c r="S311" s="41"/>
    </row>
    <row r="312" spans="16:19" ht="13" x14ac:dyDescent="0.15">
      <c r="P312" s="40"/>
      <c r="S312" s="41"/>
    </row>
    <row r="313" spans="16:19" ht="13" x14ac:dyDescent="0.15">
      <c r="P313" s="40"/>
      <c r="S313" s="41"/>
    </row>
    <row r="314" spans="16:19" ht="13" x14ac:dyDescent="0.15">
      <c r="P314" s="40"/>
      <c r="S314" s="41"/>
    </row>
    <row r="315" spans="16:19" ht="13" x14ac:dyDescent="0.15">
      <c r="P315" s="40"/>
      <c r="S315" s="41"/>
    </row>
    <row r="316" spans="16:19" ht="13" x14ac:dyDescent="0.15">
      <c r="P316" s="40"/>
      <c r="S316" s="41"/>
    </row>
    <row r="317" spans="16:19" ht="13" x14ac:dyDescent="0.15">
      <c r="P317" s="40"/>
      <c r="S317" s="41"/>
    </row>
    <row r="318" spans="16:19" ht="13" x14ac:dyDescent="0.15">
      <c r="P318" s="40"/>
      <c r="S318" s="41"/>
    </row>
    <row r="319" spans="16:19" ht="13" x14ac:dyDescent="0.15">
      <c r="P319" s="40"/>
      <c r="S319" s="41"/>
    </row>
    <row r="320" spans="16:19" ht="13" x14ac:dyDescent="0.15">
      <c r="P320" s="40"/>
      <c r="S320" s="41"/>
    </row>
    <row r="321" spans="16:19" ht="13" x14ac:dyDescent="0.15">
      <c r="P321" s="40"/>
      <c r="S321" s="41"/>
    </row>
    <row r="322" spans="16:19" ht="13" x14ac:dyDescent="0.15">
      <c r="P322" s="40"/>
      <c r="S322" s="41"/>
    </row>
    <row r="323" spans="16:19" ht="13" x14ac:dyDescent="0.15">
      <c r="P323" s="40"/>
      <c r="S323" s="41"/>
    </row>
    <row r="324" spans="16:19" ht="13" x14ac:dyDescent="0.15">
      <c r="P324" s="40"/>
      <c r="S324" s="41"/>
    </row>
    <row r="325" spans="16:19" ht="13" x14ac:dyDescent="0.15">
      <c r="P325" s="40"/>
      <c r="S325" s="41"/>
    </row>
    <row r="326" spans="16:19" ht="13" x14ac:dyDescent="0.15">
      <c r="P326" s="40"/>
      <c r="S326" s="41"/>
    </row>
    <row r="327" spans="16:19" ht="13" x14ac:dyDescent="0.15">
      <c r="P327" s="40"/>
      <c r="S327" s="41"/>
    </row>
    <row r="328" spans="16:19" ht="13" x14ac:dyDescent="0.15">
      <c r="P328" s="40"/>
      <c r="S328" s="41"/>
    </row>
    <row r="329" spans="16:19" ht="13" x14ac:dyDescent="0.15">
      <c r="P329" s="40"/>
      <c r="S329" s="41"/>
    </row>
    <row r="330" spans="16:19" ht="13" x14ac:dyDescent="0.15">
      <c r="P330" s="40"/>
      <c r="S330" s="41"/>
    </row>
    <row r="331" spans="16:19" ht="13" x14ac:dyDescent="0.15">
      <c r="P331" s="40"/>
      <c r="S331" s="41"/>
    </row>
    <row r="332" spans="16:19" ht="13" x14ac:dyDescent="0.15">
      <c r="P332" s="40"/>
      <c r="S332" s="41"/>
    </row>
    <row r="333" spans="16:19" ht="13" x14ac:dyDescent="0.15">
      <c r="P333" s="40"/>
      <c r="S333" s="41"/>
    </row>
    <row r="334" spans="16:19" ht="13" x14ac:dyDescent="0.15">
      <c r="P334" s="40"/>
      <c r="S334" s="41"/>
    </row>
    <row r="335" spans="16:19" ht="13" x14ac:dyDescent="0.15">
      <c r="P335" s="40"/>
      <c r="S335" s="41"/>
    </row>
    <row r="336" spans="16:19" ht="13" x14ac:dyDescent="0.15">
      <c r="P336" s="40"/>
      <c r="S336" s="41"/>
    </row>
    <row r="337" spans="16:19" ht="13" x14ac:dyDescent="0.15">
      <c r="P337" s="40"/>
      <c r="S337" s="41"/>
    </row>
    <row r="338" spans="16:19" ht="13" x14ac:dyDescent="0.15">
      <c r="P338" s="40"/>
      <c r="S338" s="41"/>
    </row>
    <row r="339" spans="16:19" ht="13" x14ac:dyDescent="0.15">
      <c r="P339" s="40"/>
      <c r="S339" s="41"/>
    </row>
    <row r="340" spans="16:19" ht="13" x14ac:dyDescent="0.15">
      <c r="P340" s="40"/>
      <c r="S340" s="41"/>
    </row>
    <row r="341" spans="16:19" ht="13" x14ac:dyDescent="0.15">
      <c r="P341" s="40"/>
      <c r="S341" s="41"/>
    </row>
    <row r="342" spans="16:19" ht="13" x14ac:dyDescent="0.15">
      <c r="P342" s="40"/>
      <c r="S342" s="41"/>
    </row>
    <row r="343" spans="16:19" ht="13" x14ac:dyDescent="0.15">
      <c r="P343" s="40"/>
      <c r="S343" s="41"/>
    </row>
    <row r="344" spans="16:19" ht="13" x14ac:dyDescent="0.15">
      <c r="P344" s="40"/>
      <c r="S344" s="41"/>
    </row>
    <row r="345" spans="16:19" ht="13" x14ac:dyDescent="0.15">
      <c r="P345" s="40"/>
      <c r="S345" s="41"/>
    </row>
    <row r="346" spans="16:19" ht="13" x14ac:dyDescent="0.15">
      <c r="P346" s="40"/>
      <c r="S346" s="41"/>
    </row>
    <row r="347" spans="16:19" ht="13" x14ac:dyDescent="0.15">
      <c r="P347" s="40"/>
      <c r="S347" s="41"/>
    </row>
    <row r="348" spans="16:19" ht="13" x14ac:dyDescent="0.15">
      <c r="P348" s="40"/>
      <c r="S348" s="41"/>
    </row>
    <row r="349" spans="16:19" ht="13" x14ac:dyDescent="0.15">
      <c r="P349" s="40"/>
      <c r="S349" s="41"/>
    </row>
    <row r="350" spans="16:19" ht="13" x14ac:dyDescent="0.15">
      <c r="P350" s="40"/>
      <c r="S350" s="41"/>
    </row>
    <row r="351" spans="16:19" ht="13" x14ac:dyDescent="0.15">
      <c r="P351" s="40"/>
      <c r="S351" s="41"/>
    </row>
    <row r="352" spans="16:19" ht="13" x14ac:dyDescent="0.15">
      <c r="P352" s="40"/>
      <c r="S352" s="41"/>
    </row>
    <row r="353" spans="16:19" ht="13" x14ac:dyDescent="0.15">
      <c r="P353" s="40"/>
      <c r="S353" s="41"/>
    </row>
    <row r="354" spans="16:19" ht="13" x14ac:dyDescent="0.15">
      <c r="P354" s="40"/>
      <c r="S354" s="41"/>
    </row>
    <row r="355" spans="16:19" ht="13" x14ac:dyDescent="0.15">
      <c r="P355" s="40"/>
      <c r="S355" s="41"/>
    </row>
    <row r="356" spans="16:19" ht="13" x14ac:dyDescent="0.15">
      <c r="P356" s="40"/>
      <c r="S356" s="41"/>
    </row>
    <row r="357" spans="16:19" ht="13" x14ac:dyDescent="0.15">
      <c r="P357" s="40"/>
      <c r="S357" s="41"/>
    </row>
    <row r="358" spans="16:19" ht="13" x14ac:dyDescent="0.15">
      <c r="P358" s="40"/>
      <c r="S358" s="41"/>
    </row>
    <row r="359" spans="16:19" ht="13" x14ac:dyDescent="0.15">
      <c r="P359" s="40"/>
      <c r="S359" s="41"/>
    </row>
    <row r="360" spans="16:19" ht="13" x14ac:dyDescent="0.15">
      <c r="P360" s="40"/>
      <c r="S360" s="41"/>
    </row>
    <row r="361" spans="16:19" ht="13" x14ac:dyDescent="0.15">
      <c r="P361" s="40"/>
      <c r="S361" s="41"/>
    </row>
    <row r="362" spans="16:19" ht="13" x14ac:dyDescent="0.15">
      <c r="P362" s="40"/>
      <c r="S362" s="41"/>
    </row>
    <row r="363" spans="16:19" ht="13" x14ac:dyDescent="0.15">
      <c r="P363" s="40"/>
      <c r="S363" s="41"/>
    </row>
    <row r="364" spans="16:19" ht="13" x14ac:dyDescent="0.15">
      <c r="P364" s="40"/>
      <c r="S364" s="41"/>
    </row>
    <row r="365" spans="16:19" ht="13" x14ac:dyDescent="0.15">
      <c r="P365" s="40"/>
      <c r="S365" s="41"/>
    </row>
    <row r="366" spans="16:19" ht="13" x14ac:dyDescent="0.15">
      <c r="P366" s="40"/>
      <c r="S366" s="41"/>
    </row>
    <row r="367" spans="16:19" ht="13" x14ac:dyDescent="0.15">
      <c r="P367" s="40"/>
      <c r="S367" s="41"/>
    </row>
    <row r="368" spans="16:19" ht="13" x14ac:dyDescent="0.15">
      <c r="P368" s="40"/>
      <c r="S368" s="41"/>
    </row>
    <row r="369" spans="16:19" ht="13" x14ac:dyDescent="0.15">
      <c r="P369" s="40"/>
      <c r="S369" s="41"/>
    </row>
    <row r="370" spans="16:19" ht="13" x14ac:dyDescent="0.15">
      <c r="P370" s="40"/>
      <c r="S370" s="41"/>
    </row>
    <row r="371" spans="16:19" ht="13" x14ac:dyDescent="0.15">
      <c r="P371" s="40"/>
      <c r="S371" s="41"/>
    </row>
    <row r="372" spans="16:19" ht="13" x14ac:dyDescent="0.15">
      <c r="P372" s="40"/>
      <c r="S372" s="41"/>
    </row>
    <row r="373" spans="16:19" ht="13" x14ac:dyDescent="0.15">
      <c r="P373" s="40"/>
      <c r="S373" s="41"/>
    </row>
    <row r="374" spans="16:19" ht="13" x14ac:dyDescent="0.15">
      <c r="P374" s="40"/>
      <c r="S374" s="41"/>
    </row>
    <row r="375" spans="16:19" ht="13" x14ac:dyDescent="0.15">
      <c r="P375" s="40"/>
      <c r="S375" s="41"/>
    </row>
    <row r="376" spans="16:19" ht="13" x14ac:dyDescent="0.15">
      <c r="P376" s="40"/>
      <c r="S376" s="41"/>
    </row>
    <row r="377" spans="16:19" ht="13" x14ac:dyDescent="0.15">
      <c r="P377" s="40"/>
      <c r="S377" s="41"/>
    </row>
    <row r="378" spans="16:19" ht="13" x14ac:dyDescent="0.15">
      <c r="P378" s="40"/>
      <c r="S378" s="41"/>
    </row>
    <row r="379" spans="16:19" ht="13" x14ac:dyDescent="0.15">
      <c r="P379" s="40"/>
      <c r="S379" s="41"/>
    </row>
    <row r="380" spans="16:19" ht="13" x14ac:dyDescent="0.15">
      <c r="P380" s="40"/>
      <c r="S380" s="41"/>
    </row>
    <row r="381" spans="16:19" ht="13" x14ac:dyDescent="0.15">
      <c r="P381" s="40"/>
      <c r="S381" s="41"/>
    </row>
    <row r="382" spans="16:19" ht="13" x14ac:dyDescent="0.15">
      <c r="P382" s="40"/>
      <c r="S382" s="41"/>
    </row>
    <row r="383" spans="16:19" ht="13" x14ac:dyDescent="0.15">
      <c r="P383" s="40"/>
      <c r="S383" s="41"/>
    </row>
    <row r="384" spans="16:19" ht="13" x14ac:dyDescent="0.15">
      <c r="P384" s="40"/>
      <c r="S384" s="41"/>
    </row>
    <row r="385" spans="16:19" ht="13" x14ac:dyDescent="0.15">
      <c r="P385" s="40"/>
      <c r="S385" s="41"/>
    </row>
    <row r="386" spans="16:19" ht="13" x14ac:dyDescent="0.15">
      <c r="P386" s="40"/>
      <c r="S386" s="41"/>
    </row>
    <row r="387" spans="16:19" ht="13" x14ac:dyDescent="0.15">
      <c r="P387" s="40"/>
      <c r="S387" s="41"/>
    </row>
    <row r="388" spans="16:19" ht="13" x14ac:dyDescent="0.15">
      <c r="P388" s="40"/>
      <c r="S388" s="41"/>
    </row>
    <row r="389" spans="16:19" ht="13" x14ac:dyDescent="0.15">
      <c r="P389" s="40"/>
      <c r="S389" s="41"/>
    </row>
    <row r="390" spans="16:19" ht="13" x14ac:dyDescent="0.15">
      <c r="P390" s="40"/>
      <c r="S390" s="41"/>
    </row>
    <row r="391" spans="16:19" ht="13" x14ac:dyDescent="0.15">
      <c r="P391" s="40"/>
      <c r="S391" s="41"/>
    </row>
    <row r="392" spans="16:19" ht="13" x14ac:dyDescent="0.15">
      <c r="P392" s="40"/>
      <c r="S392" s="41"/>
    </row>
    <row r="393" spans="16:19" ht="13" x14ac:dyDescent="0.15">
      <c r="P393" s="40"/>
      <c r="S393" s="41"/>
    </row>
    <row r="394" spans="16:19" ht="13" x14ac:dyDescent="0.15">
      <c r="P394" s="40"/>
      <c r="S394" s="41"/>
    </row>
    <row r="395" spans="16:19" ht="13" x14ac:dyDescent="0.15">
      <c r="P395" s="40"/>
      <c r="S395" s="41"/>
    </row>
    <row r="396" spans="16:19" ht="13" x14ac:dyDescent="0.15">
      <c r="P396" s="40"/>
      <c r="S396" s="41"/>
    </row>
    <row r="397" spans="16:19" ht="13" x14ac:dyDescent="0.15">
      <c r="P397" s="40"/>
      <c r="S397" s="41"/>
    </row>
    <row r="398" spans="16:19" ht="13" x14ac:dyDescent="0.15">
      <c r="P398" s="40"/>
      <c r="S398" s="41"/>
    </row>
    <row r="399" spans="16:19" ht="13" x14ac:dyDescent="0.15">
      <c r="P399" s="40"/>
      <c r="S399" s="41"/>
    </row>
    <row r="400" spans="16:19" ht="13" x14ac:dyDescent="0.15">
      <c r="P400" s="40"/>
      <c r="S400" s="41"/>
    </row>
    <row r="401" spans="16:19" ht="13" x14ac:dyDescent="0.15">
      <c r="P401" s="40"/>
      <c r="S401" s="41"/>
    </row>
    <row r="402" spans="16:19" ht="13" x14ac:dyDescent="0.15">
      <c r="P402" s="40"/>
      <c r="S402" s="41"/>
    </row>
    <row r="403" spans="16:19" ht="13" x14ac:dyDescent="0.15">
      <c r="P403" s="40"/>
      <c r="S403" s="41"/>
    </row>
    <row r="404" spans="16:19" ht="13" x14ac:dyDescent="0.15">
      <c r="P404" s="40"/>
      <c r="S404" s="41"/>
    </row>
    <row r="405" spans="16:19" ht="13" x14ac:dyDescent="0.15">
      <c r="P405" s="40"/>
      <c r="S405" s="41"/>
    </row>
    <row r="406" spans="16:19" ht="13" x14ac:dyDescent="0.15">
      <c r="P406" s="40"/>
      <c r="S406" s="41"/>
    </row>
    <row r="407" spans="16:19" ht="13" x14ac:dyDescent="0.15">
      <c r="P407" s="40"/>
      <c r="S407" s="41"/>
    </row>
    <row r="408" spans="16:19" ht="13" x14ac:dyDescent="0.15">
      <c r="P408" s="40"/>
      <c r="S408" s="41"/>
    </row>
    <row r="409" spans="16:19" ht="13" x14ac:dyDescent="0.15">
      <c r="P409" s="40"/>
      <c r="S409" s="41"/>
    </row>
    <row r="410" spans="16:19" ht="13" x14ac:dyDescent="0.15">
      <c r="P410" s="40"/>
      <c r="S410" s="41"/>
    </row>
    <row r="411" spans="16:19" ht="13" x14ac:dyDescent="0.15">
      <c r="P411" s="40"/>
      <c r="S411" s="41"/>
    </row>
    <row r="412" spans="16:19" ht="13" x14ac:dyDescent="0.15">
      <c r="P412" s="40"/>
      <c r="S412" s="41"/>
    </row>
    <row r="413" spans="16:19" ht="13" x14ac:dyDescent="0.15">
      <c r="P413" s="40"/>
      <c r="S413" s="41"/>
    </row>
    <row r="414" spans="16:19" ht="13" x14ac:dyDescent="0.15">
      <c r="P414" s="40"/>
      <c r="S414" s="41"/>
    </row>
    <row r="415" spans="16:19" ht="13" x14ac:dyDescent="0.15">
      <c r="P415" s="40"/>
      <c r="S415" s="41"/>
    </row>
    <row r="416" spans="16:19" ht="13" x14ac:dyDescent="0.15">
      <c r="P416" s="40"/>
      <c r="S416" s="41"/>
    </row>
    <row r="417" spans="16:19" ht="13" x14ac:dyDescent="0.15">
      <c r="P417" s="40"/>
      <c r="S417" s="41"/>
    </row>
    <row r="418" spans="16:19" ht="13" x14ac:dyDescent="0.15">
      <c r="P418" s="40"/>
      <c r="S418" s="41"/>
    </row>
    <row r="419" spans="16:19" ht="13" x14ac:dyDescent="0.15">
      <c r="P419" s="40"/>
      <c r="S419" s="41"/>
    </row>
    <row r="420" spans="16:19" ht="13" x14ac:dyDescent="0.15">
      <c r="P420" s="40"/>
      <c r="S420" s="41"/>
    </row>
    <row r="421" spans="16:19" ht="13" x14ac:dyDescent="0.15">
      <c r="P421" s="40"/>
      <c r="S421" s="41"/>
    </row>
    <row r="422" spans="16:19" ht="13" x14ac:dyDescent="0.15">
      <c r="P422" s="40"/>
      <c r="S422" s="41"/>
    </row>
    <row r="423" spans="16:19" ht="13" x14ac:dyDescent="0.15">
      <c r="P423" s="40"/>
      <c r="S423" s="41"/>
    </row>
    <row r="424" spans="16:19" ht="13" x14ac:dyDescent="0.15">
      <c r="P424" s="40"/>
      <c r="S424" s="41"/>
    </row>
    <row r="425" spans="16:19" ht="13" x14ac:dyDescent="0.15">
      <c r="P425" s="40"/>
      <c r="S425" s="41"/>
    </row>
    <row r="426" spans="16:19" ht="13" x14ac:dyDescent="0.15">
      <c r="P426" s="40"/>
      <c r="S426" s="41"/>
    </row>
    <row r="427" spans="16:19" ht="13" x14ac:dyDescent="0.15">
      <c r="P427" s="40"/>
      <c r="S427" s="41"/>
    </row>
    <row r="428" spans="16:19" ht="13" x14ac:dyDescent="0.15">
      <c r="P428" s="40"/>
      <c r="S428" s="41"/>
    </row>
    <row r="429" spans="16:19" ht="13" x14ac:dyDescent="0.15">
      <c r="P429" s="40"/>
      <c r="S429" s="41"/>
    </row>
    <row r="430" spans="16:19" ht="13" x14ac:dyDescent="0.15">
      <c r="P430" s="40"/>
      <c r="S430" s="41"/>
    </row>
    <row r="431" spans="16:19" ht="13" x14ac:dyDescent="0.15">
      <c r="P431" s="40"/>
      <c r="S431" s="41"/>
    </row>
    <row r="432" spans="16:19" ht="13" x14ac:dyDescent="0.15">
      <c r="P432" s="40"/>
      <c r="S432" s="41"/>
    </row>
    <row r="433" spans="16:19" ht="13" x14ac:dyDescent="0.15">
      <c r="P433" s="40"/>
      <c r="S433" s="41"/>
    </row>
    <row r="434" spans="16:19" ht="13" x14ac:dyDescent="0.15">
      <c r="P434" s="40"/>
      <c r="S434" s="41"/>
    </row>
    <row r="435" spans="16:19" ht="13" x14ac:dyDescent="0.15">
      <c r="P435" s="40"/>
      <c r="S435" s="41"/>
    </row>
    <row r="436" spans="16:19" ht="13" x14ac:dyDescent="0.15">
      <c r="P436" s="40"/>
      <c r="S436" s="41"/>
    </row>
    <row r="437" spans="16:19" ht="13" x14ac:dyDescent="0.15">
      <c r="P437" s="40"/>
      <c r="S437" s="41"/>
    </row>
    <row r="438" spans="16:19" ht="13" x14ac:dyDescent="0.15">
      <c r="P438" s="40"/>
      <c r="S438" s="41"/>
    </row>
    <row r="439" spans="16:19" ht="13" x14ac:dyDescent="0.15">
      <c r="P439" s="40"/>
      <c r="S439" s="41"/>
    </row>
    <row r="440" spans="16:19" ht="13" x14ac:dyDescent="0.15">
      <c r="P440" s="40"/>
      <c r="S440" s="41"/>
    </row>
    <row r="441" spans="16:19" ht="13" x14ac:dyDescent="0.15">
      <c r="P441" s="40"/>
      <c r="S441" s="41"/>
    </row>
    <row r="442" spans="16:19" ht="13" x14ac:dyDescent="0.15">
      <c r="P442" s="40"/>
      <c r="S442" s="41"/>
    </row>
    <row r="443" spans="16:19" ht="13" x14ac:dyDescent="0.15">
      <c r="P443" s="40"/>
      <c r="S443" s="41"/>
    </row>
    <row r="444" spans="16:19" ht="13" x14ac:dyDescent="0.15">
      <c r="P444" s="40"/>
      <c r="S444" s="41"/>
    </row>
    <row r="445" spans="16:19" ht="13" x14ac:dyDescent="0.15">
      <c r="P445" s="40"/>
      <c r="S445" s="41"/>
    </row>
    <row r="446" spans="16:19" ht="13" x14ac:dyDescent="0.15">
      <c r="P446" s="40"/>
      <c r="S446" s="41"/>
    </row>
    <row r="447" spans="16:19" ht="13" x14ac:dyDescent="0.15">
      <c r="P447" s="40"/>
      <c r="S447" s="41"/>
    </row>
    <row r="448" spans="16:19" ht="13" x14ac:dyDescent="0.15">
      <c r="P448" s="40"/>
      <c r="S448" s="41"/>
    </row>
    <row r="449" spans="16:19" ht="13" x14ac:dyDescent="0.15">
      <c r="P449" s="40"/>
      <c r="S449" s="41"/>
    </row>
    <row r="450" spans="16:19" ht="13" x14ac:dyDescent="0.15">
      <c r="P450" s="40"/>
      <c r="S450" s="41"/>
    </row>
    <row r="451" spans="16:19" ht="13" x14ac:dyDescent="0.15">
      <c r="P451" s="40"/>
      <c r="S451" s="41"/>
    </row>
    <row r="452" spans="16:19" ht="13" x14ac:dyDescent="0.15">
      <c r="P452" s="40"/>
      <c r="S452" s="41"/>
    </row>
    <row r="453" spans="16:19" ht="13" x14ac:dyDescent="0.15">
      <c r="P453" s="40"/>
      <c r="S453" s="41"/>
    </row>
    <row r="454" spans="16:19" ht="13" x14ac:dyDescent="0.15">
      <c r="P454" s="40"/>
      <c r="S454" s="41"/>
    </row>
    <row r="455" spans="16:19" ht="13" x14ac:dyDescent="0.15">
      <c r="P455" s="40"/>
      <c r="S455" s="41"/>
    </row>
    <row r="456" spans="16:19" ht="13" x14ac:dyDescent="0.15">
      <c r="P456" s="40"/>
      <c r="S456" s="41"/>
    </row>
    <row r="457" spans="16:19" ht="13" x14ac:dyDescent="0.15">
      <c r="P457" s="40"/>
      <c r="S457" s="41"/>
    </row>
    <row r="458" spans="16:19" ht="13" x14ac:dyDescent="0.15">
      <c r="P458" s="40"/>
      <c r="S458" s="41"/>
    </row>
    <row r="459" spans="16:19" ht="13" x14ac:dyDescent="0.15">
      <c r="P459" s="40"/>
      <c r="S459" s="41"/>
    </row>
    <row r="460" spans="16:19" ht="13" x14ac:dyDescent="0.15">
      <c r="P460" s="40"/>
      <c r="S460" s="41"/>
    </row>
    <row r="461" spans="16:19" ht="13" x14ac:dyDescent="0.15">
      <c r="P461" s="40"/>
      <c r="S461" s="41"/>
    </row>
    <row r="462" spans="16:19" ht="13" x14ac:dyDescent="0.15">
      <c r="P462" s="40"/>
      <c r="S462" s="41"/>
    </row>
    <row r="463" spans="16:19" ht="13" x14ac:dyDescent="0.15">
      <c r="P463" s="40"/>
      <c r="S463" s="41"/>
    </row>
    <row r="464" spans="16:19" ht="13" x14ac:dyDescent="0.15">
      <c r="P464" s="40"/>
      <c r="S464" s="41"/>
    </row>
    <row r="465" spans="16:19" ht="13" x14ac:dyDescent="0.15">
      <c r="P465" s="40"/>
      <c r="S465" s="41"/>
    </row>
    <row r="466" spans="16:19" ht="13" x14ac:dyDescent="0.15">
      <c r="P466" s="40"/>
      <c r="S466" s="41"/>
    </row>
    <row r="467" spans="16:19" ht="13" x14ac:dyDescent="0.15">
      <c r="P467" s="40"/>
      <c r="S467" s="41"/>
    </row>
    <row r="468" spans="16:19" ht="13" x14ac:dyDescent="0.15">
      <c r="P468" s="40"/>
      <c r="S468" s="41"/>
    </row>
    <row r="469" spans="16:19" ht="13" x14ac:dyDescent="0.15">
      <c r="P469" s="40"/>
      <c r="S469" s="41"/>
    </row>
    <row r="470" spans="16:19" ht="13" x14ac:dyDescent="0.15">
      <c r="P470" s="40"/>
      <c r="S470" s="41"/>
    </row>
    <row r="471" spans="16:19" ht="13" x14ac:dyDescent="0.15">
      <c r="P471" s="40"/>
      <c r="S471" s="41"/>
    </row>
    <row r="472" spans="16:19" ht="13" x14ac:dyDescent="0.15">
      <c r="P472" s="40"/>
      <c r="S472" s="41"/>
    </row>
    <row r="473" spans="16:19" ht="13" x14ac:dyDescent="0.15">
      <c r="P473" s="40"/>
      <c r="S473" s="41"/>
    </row>
    <row r="474" spans="16:19" ht="13" x14ac:dyDescent="0.15">
      <c r="P474" s="40"/>
      <c r="S474" s="41"/>
    </row>
    <row r="475" spans="16:19" ht="13" x14ac:dyDescent="0.15">
      <c r="P475" s="40"/>
      <c r="S475" s="41"/>
    </row>
    <row r="476" spans="16:19" ht="13" x14ac:dyDescent="0.15">
      <c r="P476" s="40"/>
      <c r="S476" s="41"/>
    </row>
    <row r="477" spans="16:19" ht="13" x14ac:dyDescent="0.15">
      <c r="P477" s="40"/>
      <c r="S477" s="41"/>
    </row>
    <row r="478" spans="16:19" ht="13" x14ac:dyDescent="0.15">
      <c r="P478" s="40"/>
      <c r="S478" s="41"/>
    </row>
    <row r="479" spans="16:19" ht="13" x14ac:dyDescent="0.15">
      <c r="P479" s="40"/>
      <c r="S479" s="41"/>
    </row>
    <row r="480" spans="16:19" ht="13" x14ac:dyDescent="0.15">
      <c r="P480" s="40"/>
      <c r="S480" s="41"/>
    </row>
    <row r="481" spans="16:19" ht="13" x14ac:dyDescent="0.15">
      <c r="P481" s="40"/>
      <c r="S481" s="41"/>
    </row>
    <row r="482" spans="16:19" ht="13" x14ac:dyDescent="0.15">
      <c r="P482" s="40"/>
      <c r="S482" s="41"/>
    </row>
    <row r="483" spans="16:19" ht="13" x14ac:dyDescent="0.15">
      <c r="P483" s="40"/>
      <c r="S483" s="41"/>
    </row>
    <row r="484" spans="16:19" ht="13" x14ac:dyDescent="0.15">
      <c r="P484" s="40"/>
      <c r="S484" s="41"/>
    </row>
    <row r="485" spans="16:19" ht="13" x14ac:dyDescent="0.15">
      <c r="P485" s="40"/>
      <c r="S485" s="41"/>
    </row>
    <row r="486" spans="16:19" ht="13" x14ac:dyDescent="0.15">
      <c r="P486" s="40"/>
      <c r="S486" s="41"/>
    </row>
    <row r="487" spans="16:19" ht="13" x14ac:dyDescent="0.15">
      <c r="P487" s="40"/>
      <c r="S487" s="41"/>
    </row>
    <row r="488" spans="16:19" ht="13" x14ac:dyDescent="0.15">
      <c r="P488" s="40"/>
      <c r="S488" s="41"/>
    </row>
    <row r="489" spans="16:19" ht="13" x14ac:dyDescent="0.15">
      <c r="P489" s="40"/>
      <c r="S489" s="41"/>
    </row>
    <row r="490" spans="16:19" ht="13" x14ac:dyDescent="0.15">
      <c r="P490" s="40"/>
      <c r="S490" s="41"/>
    </row>
    <row r="491" spans="16:19" ht="13" x14ac:dyDescent="0.15">
      <c r="P491" s="40"/>
      <c r="S491" s="41"/>
    </row>
    <row r="492" spans="16:19" ht="13" x14ac:dyDescent="0.15">
      <c r="P492" s="40"/>
      <c r="S492" s="41"/>
    </row>
    <row r="493" spans="16:19" ht="13" x14ac:dyDescent="0.15">
      <c r="P493" s="40"/>
      <c r="S493" s="41"/>
    </row>
    <row r="494" spans="16:19" ht="13" x14ac:dyDescent="0.15">
      <c r="P494" s="40"/>
      <c r="S494" s="41"/>
    </row>
    <row r="495" spans="16:19" ht="13" x14ac:dyDescent="0.15">
      <c r="P495" s="40"/>
      <c r="S495" s="41"/>
    </row>
    <row r="496" spans="16:19" ht="13" x14ac:dyDescent="0.15">
      <c r="P496" s="40"/>
      <c r="S496" s="41"/>
    </row>
    <row r="497" spans="16:19" ht="13" x14ac:dyDescent="0.15">
      <c r="P497" s="40"/>
      <c r="S497" s="41"/>
    </row>
    <row r="498" spans="16:19" ht="13" x14ac:dyDescent="0.15">
      <c r="P498" s="40"/>
      <c r="S498" s="41"/>
    </row>
    <row r="499" spans="16:19" ht="13" x14ac:dyDescent="0.15">
      <c r="P499" s="40"/>
      <c r="S499" s="41"/>
    </row>
    <row r="500" spans="16:19" ht="13" x14ac:dyDescent="0.15">
      <c r="P500" s="40"/>
      <c r="S500" s="41"/>
    </row>
    <row r="501" spans="16:19" ht="13" x14ac:dyDescent="0.15">
      <c r="P501" s="40"/>
      <c r="S501" s="41"/>
    </row>
    <row r="502" spans="16:19" ht="13" x14ac:dyDescent="0.15">
      <c r="P502" s="40"/>
      <c r="S502" s="41"/>
    </row>
    <row r="503" spans="16:19" ht="13" x14ac:dyDescent="0.15">
      <c r="P503" s="40"/>
      <c r="S503" s="41"/>
    </row>
    <row r="504" spans="16:19" ht="13" x14ac:dyDescent="0.15">
      <c r="P504" s="40"/>
      <c r="S504" s="41"/>
    </row>
    <row r="505" spans="16:19" ht="13" x14ac:dyDescent="0.15">
      <c r="P505" s="40"/>
      <c r="S505" s="41"/>
    </row>
    <row r="506" spans="16:19" ht="13" x14ac:dyDescent="0.15">
      <c r="P506" s="40"/>
      <c r="S506" s="41"/>
    </row>
    <row r="507" spans="16:19" ht="13" x14ac:dyDescent="0.15">
      <c r="P507" s="40"/>
      <c r="S507" s="41"/>
    </row>
    <row r="508" spans="16:19" ht="13" x14ac:dyDescent="0.15">
      <c r="P508" s="40"/>
      <c r="S508" s="41"/>
    </row>
    <row r="509" spans="16:19" ht="13" x14ac:dyDescent="0.15">
      <c r="P509" s="40"/>
      <c r="S509" s="41"/>
    </row>
    <row r="510" spans="16:19" ht="13" x14ac:dyDescent="0.15">
      <c r="P510" s="40"/>
      <c r="S510" s="41"/>
    </row>
    <row r="511" spans="16:19" ht="13" x14ac:dyDescent="0.15">
      <c r="P511" s="40"/>
      <c r="S511" s="41"/>
    </row>
    <row r="512" spans="16:19" ht="13" x14ac:dyDescent="0.15">
      <c r="P512" s="40"/>
      <c r="S512" s="41"/>
    </row>
    <row r="513" spans="16:19" ht="13" x14ac:dyDescent="0.15">
      <c r="P513" s="40"/>
      <c r="S513" s="41"/>
    </row>
    <row r="514" spans="16:19" ht="13" x14ac:dyDescent="0.15">
      <c r="P514" s="40"/>
      <c r="S514" s="41"/>
    </row>
    <row r="515" spans="16:19" ht="13" x14ac:dyDescent="0.15">
      <c r="P515" s="40"/>
      <c r="S515" s="41"/>
    </row>
    <row r="516" spans="16:19" ht="13" x14ac:dyDescent="0.15">
      <c r="P516" s="40"/>
      <c r="S516" s="41"/>
    </row>
    <row r="517" spans="16:19" ht="13" x14ac:dyDescent="0.15">
      <c r="P517" s="40"/>
      <c r="S517" s="41"/>
    </row>
    <row r="518" spans="16:19" ht="13" x14ac:dyDescent="0.15">
      <c r="P518" s="40"/>
      <c r="S518" s="41"/>
    </row>
    <row r="519" spans="16:19" ht="13" x14ac:dyDescent="0.15">
      <c r="P519" s="40"/>
      <c r="S519" s="41"/>
    </row>
    <row r="520" spans="16:19" ht="13" x14ac:dyDescent="0.15">
      <c r="P520" s="40"/>
      <c r="S520" s="41"/>
    </row>
    <row r="521" spans="16:19" ht="13" x14ac:dyDescent="0.15">
      <c r="P521" s="40"/>
      <c r="S521" s="41"/>
    </row>
    <row r="522" spans="16:19" ht="13" x14ac:dyDescent="0.15">
      <c r="P522" s="40"/>
      <c r="S522" s="41"/>
    </row>
    <row r="523" spans="16:19" ht="13" x14ac:dyDescent="0.15">
      <c r="P523" s="40"/>
      <c r="S523" s="41"/>
    </row>
    <row r="524" spans="16:19" ht="13" x14ac:dyDescent="0.15">
      <c r="P524" s="40"/>
      <c r="S524" s="41"/>
    </row>
    <row r="525" spans="16:19" ht="13" x14ac:dyDescent="0.15">
      <c r="P525" s="40"/>
      <c r="S525" s="41"/>
    </row>
    <row r="526" spans="16:19" ht="13" x14ac:dyDescent="0.15">
      <c r="P526" s="40"/>
      <c r="S526" s="41"/>
    </row>
    <row r="527" spans="16:19" ht="13" x14ac:dyDescent="0.15">
      <c r="P527" s="40"/>
      <c r="S527" s="41"/>
    </row>
    <row r="528" spans="16:19" ht="13" x14ac:dyDescent="0.15">
      <c r="P528" s="40"/>
      <c r="S528" s="41"/>
    </row>
    <row r="529" spans="16:19" ht="13" x14ac:dyDescent="0.15">
      <c r="P529" s="40"/>
      <c r="S529" s="41"/>
    </row>
    <row r="530" spans="16:19" ht="13" x14ac:dyDescent="0.15">
      <c r="P530" s="40"/>
      <c r="S530" s="41"/>
    </row>
    <row r="531" spans="16:19" ht="13" x14ac:dyDescent="0.15">
      <c r="P531" s="40"/>
      <c r="S531" s="41"/>
    </row>
    <row r="532" spans="16:19" ht="13" x14ac:dyDescent="0.15">
      <c r="P532" s="40"/>
      <c r="S532" s="41"/>
    </row>
    <row r="533" spans="16:19" ht="13" x14ac:dyDescent="0.15">
      <c r="P533" s="40"/>
      <c r="S533" s="41"/>
    </row>
    <row r="534" spans="16:19" ht="13" x14ac:dyDescent="0.15">
      <c r="P534" s="40"/>
      <c r="S534" s="41"/>
    </row>
    <row r="535" spans="16:19" ht="13" x14ac:dyDescent="0.15">
      <c r="P535" s="40"/>
      <c r="S535" s="41"/>
    </row>
    <row r="536" spans="16:19" ht="13" x14ac:dyDescent="0.15">
      <c r="P536" s="40"/>
      <c r="S536" s="41"/>
    </row>
    <row r="537" spans="16:19" ht="13" x14ac:dyDescent="0.15">
      <c r="P537" s="40"/>
      <c r="S537" s="41"/>
    </row>
    <row r="538" spans="16:19" ht="13" x14ac:dyDescent="0.15">
      <c r="P538" s="40"/>
      <c r="S538" s="41"/>
    </row>
    <row r="539" spans="16:19" ht="13" x14ac:dyDescent="0.15">
      <c r="P539" s="40"/>
      <c r="S539" s="41"/>
    </row>
    <row r="540" spans="16:19" ht="13" x14ac:dyDescent="0.15">
      <c r="P540" s="40"/>
      <c r="S540" s="41"/>
    </row>
    <row r="541" spans="16:19" ht="13" x14ac:dyDescent="0.15">
      <c r="P541" s="40"/>
      <c r="S541" s="41"/>
    </row>
    <row r="542" spans="16:19" ht="13" x14ac:dyDescent="0.15">
      <c r="P542" s="40"/>
      <c r="S542" s="41"/>
    </row>
    <row r="543" spans="16:19" ht="13" x14ac:dyDescent="0.15">
      <c r="P543" s="40"/>
      <c r="S543" s="41"/>
    </row>
    <row r="544" spans="16:19" ht="13" x14ac:dyDescent="0.15">
      <c r="P544" s="40"/>
      <c r="S544" s="41"/>
    </row>
    <row r="545" spans="16:19" ht="13" x14ac:dyDescent="0.15">
      <c r="P545" s="40"/>
      <c r="S545" s="41"/>
    </row>
    <row r="546" spans="16:19" ht="13" x14ac:dyDescent="0.15">
      <c r="P546" s="40"/>
      <c r="S546" s="41"/>
    </row>
    <row r="547" spans="16:19" ht="13" x14ac:dyDescent="0.15">
      <c r="P547" s="40"/>
      <c r="S547" s="41"/>
    </row>
    <row r="548" spans="16:19" ht="13" x14ac:dyDescent="0.15">
      <c r="P548" s="40"/>
      <c r="S548" s="41"/>
    </row>
    <row r="549" spans="16:19" ht="13" x14ac:dyDescent="0.15">
      <c r="P549" s="40"/>
      <c r="S549" s="41"/>
    </row>
    <row r="550" spans="16:19" ht="13" x14ac:dyDescent="0.15">
      <c r="P550" s="40"/>
      <c r="S550" s="41"/>
    </row>
    <row r="551" spans="16:19" ht="13" x14ac:dyDescent="0.15">
      <c r="P551" s="40"/>
      <c r="S551" s="41"/>
    </row>
    <row r="552" spans="16:19" ht="13" x14ac:dyDescent="0.15">
      <c r="P552" s="40"/>
      <c r="S552" s="41"/>
    </row>
    <row r="553" spans="16:19" ht="13" x14ac:dyDescent="0.15">
      <c r="P553" s="40"/>
      <c r="S553" s="41"/>
    </row>
    <row r="554" spans="16:19" ht="13" x14ac:dyDescent="0.15">
      <c r="P554" s="40"/>
      <c r="S554" s="41"/>
    </row>
    <row r="555" spans="16:19" ht="13" x14ac:dyDescent="0.15">
      <c r="P555" s="40"/>
      <c r="S555" s="41"/>
    </row>
    <row r="556" spans="16:19" ht="13" x14ac:dyDescent="0.15">
      <c r="P556" s="40"/>
      <c r="S556" s="41"/>
    </row>
    <row r="557" spans="16:19" ht="13" x14ac:dyDescent="0.15">
      <c r="P557" s="40"/>
      <c r="S557" s="41"/>
    </row>
    <row r="558" spans="16:19" ht="13" x14ac:dyDescent="0.15">
      <c r="P558" s="40"/>
      <c r="S558" s="41"/>
    </row>
    <row r="559" spans="16:19" ht="13" x14ac:dyDescent="0.15">
      <c r="P559" s="40"/>
      <c r="S559" s="41"/>
    </row>
    <row r="560" spans="16:19" ht="13" x14ac:dyDescent="0.15">
      <c r="P560" s="40"/>
      <c r="S560" s="41"/>
    </row>
    <row r="561" spans="16:19" ht="13" x14ac:dyDescent="0.15">
      <c r="P561" s="40"/>
      <c r="S561" s="41"/>
    </row>
    <row r="562" spans="16:19" ht="13" x14ac:dyDescent="0.15">
      <c r="P562" s="40"/>
      <c r="S562" s="41"/>
    </row>
    <row r="563" spans="16:19" ht="13" x14ac:dyDescent="0.15">
      <c r="P563" s="40"/>
      <c r="S563" s="41"/>
    </row>
    <row r="564" spans="16:19" ht="13" x14ac:dyDescent="0.15">
      <c r="P564" s="40"/>
      <c r="S564" s="41"/>
    </row>
    <row r="565" spans="16:19" ht="13" x14ac:dyDescent="0.15">
      <c r="P565" s="40"/>
      <c r="S565" s="41"/>
    </row>
    <row r="566" spans="16:19" ht="13" x14ac:dyDescent="0.15">
      <c r="P566" s="40"/>
      <c r="S566" s="41"/>
    </row>
    <row r="567" spans="16:19" ht="13" x14ac:dyDescent="0.15">
      <c r="P567" s="40"/>
      <c r="S567" s="41"/>
    </row>
    <row r="568" spans="16:19" ht="13" x14ac:dyDescent="0.15">
      <c r="P568" s="40"/>
      <c r="S568" s="41"/>
    </row>
    <row r="569" spans="16:19" ht="13" x14ac:dyDescent="0.15">
      <c r="P569" s="40"/>
      <c r="S569" s="41"/>
    </row>
    <row r="570" spans="16:19" ht="13" x14ac:dyDescent="0.15">
      <c r="P570" s="40"/>
      <c r="S570" s="41"/>
    </row>
    <row r="571" spans="16:19" ht="13" x14ac:dyDescent="0.15">
      <c r="P571" s="40"/>
      <c r="S571" s="41"/>
    </row>
    <row r="572" spans="16:19" ht="13" x14ac:dyDescent="0.15">
      <c r="P572" s="40"/>
      <c r="S572" s="41"/>
    </row>
    <row r="573" spans="16:19" ht="13" x14ac:dyDescent="0.15">
      <c r="P573" s="40"/>
      <c r="S573" s="41"/>
    </row>
    <row r="574" spans="16:19" ht="13" x14ac:dyDescent="0.15">
      <c r="P574" s="40"/>
      <c r="S574" s="41"/>
    </row>
    <row r="575" spans="16:19" ht="13" x14ac:dyDescent="0.15">
      <c r="P575" s="40"/>
      <c r="S575" s="41"/>
    </row>
    <row r="576" spans="16:19" ht="13" x14ac:dyDescent="0.15">
      <c r="P576" s="40"/>
      <c r="S576" s="41"/>
    </row>
    <row r="577" spans="16:19" ht="13" x14ac:dyDescent="0.15">
      <c r="P577" s="40"/>
      <c r="S577" s="41"/>
    </row>
    <row r="578" spans="16:19" ht="13" x14ac:dyDescent="0.15">
      <c r="P578" s="40"/>
      <c r="S578" s="41"/>
    </row>
    <row r="579" spans="16:19" ht="13" x14ac:dyDescent="0.15">
      <c r="P579" s="40"/>
      <c r="S579" s="41"/>
    </row>
    <row r="580" spans="16:19" ht="13" x14ac:dyDescent="0.15">
      <c r="P580" s="40"/>
      <c r="S580" s="41"/>
    </row>
    <row r="581" spans="16:19" ht="13" x14ac:dyDescent="0.15">
      <c r="P581" s="40"/>
      <c r="S581" s="41"/>
    </row>
    <row r="582" spans="16:19" ht="13" x14ac:dyDescent="0.15">
      <c r="P582" s="40"/>
      <c r="S582" s="41"/>
    </row>
    <row r="583" spans="16:19" ht="13" x14ac:dyDescent="0.15">
      <c r="P583" s="40"/>
      <c r="S583" s="41"/>
    </row>
    <row r="584" spans="16:19" ht="13" x14ac:dyDescent="0.15">
      <c r="P584" s="40"/>
      <c r="S584" s="41"/>
    </row>
    <row r="585" spans="16:19" ht="13" x14ac:dyDescent="0.15">
      <c r="P585" s="40"/>
      <c r="S585" s="41"/>
    </row>
    <row r="586" spans="16:19" ht="13" x14ac:dyDescent="0.15">
      <c r="P586" s="40"/>
      <c r="S586" s="41"/>
    </row>
    <row r="587" spans="16:19" ht="13" x14ac:dyDescent="0.15">
      <c r="P587" s="40"/>
      <c r="S587" s="41"/>
    </row>
    <row r="588" spans="16:19" ht="13" x14ac:dyDescent="0.15">
      <c r="P588" s="40"/>
      <c r="S588" s="41"/>
    </row>
    <row r="589" spans="16:19" ht="13" x14ac:dyDescent="0.15">
      <c r="P589" s="40"/>
      <c r="S589" s="41"/>
    </row>
    <row r="590" spans="16:19" ht="13" x14ac:dyDescent="0.15">
      <c r="P590" s="40"/>
      <c r="S590" s="41"/>
    </row>
    <row r="591" spans="16:19" ht="13" x14ac:dyDescent="0.15">
      <c r="P591" s="40"/>
      <c r="S591" s="41"/>
    </row>
    <row r="592" spans="16:19" ht="13" x14ac:dyDescent="0.15">
      <c r="P592" s="40"/>
      <c r="S592" s="41"/>
    </row>
    <row r="593" spans="16:19" ht="13" x14ac:dyDescent="0.15">
      <c r="P593" s="40"/>
      <c r="S593" s="41"/>
    </row>
    <row r="594" spans="16:19" ht="13" x14ac:dyDescent="0.15">
      <c r="P594" s="40"/>
      <c r="S594" s="41"/>
    </row>
    <row r="595" spans="16:19" ht="13" x14ac:dyDescent="0.15">
      <c r="P595" s="40"/>
      <c r="S595" s="41"/>
    </row>
    <row r="596" spans="16:19" ht="13" x14ac:dyDescent="0.15">
      <c r="P596" s="40"/>
      <c r="S596" s="41"/>
    </row>
    <row r="597" spans="16:19" ht="13" x14ac:dyDescent="0.15">
      <c r="P597" s="40"/>
      <c r="S597" s="41"/>
    </row>
    <row r="598" spans="16:19" ht="13" x14ac:dyDescent="0.15">
      <c r="P598" s="40"/>
      <c r="S598" s="41"/>
    </row>
    <row r="599" spans="16:19" ht="13" x14ac:dyDescent="0.15">
      <c r="P599" s="40"/>
      <c r="S599" s="41"/>
    </row>
    <row r="600" spans="16:19" ht="13" x14ac:dyDescent="0.15">
      <c r="P600" s="40"/>
      <c r="S600" s="41"/>
    </row>
    <row r="601" spans="16:19" ht="13" x14ac:dyDescent="0.15">
      <c r="P601" s="40"/>
      <c r="S601" s="41"/>
    </row>
    <row r="602" spans="16:19" ht="13" x14ac:dyDescent="0.15">
      <c r="P602" s="40"/>
      <c r="S602" s="41"/>
    </row>
    <row r="603" spans="16:19" ht="13" x14ac:dyDescent="0.15">
      <c r="P603" s="40"/>
      <c r="S603" s="41"/>
    </row>
    <row r="604" spans="16:19" ht="13" x14ac:dyDescent="0.15">
      <c r="P604" s="40"/>
      <c r="S604" s="41"/>
    </row>
    <row r="605" spans="16:19" ht="13" x14ac:dyDescent="0.15">
      <c r="P605" s="40"/>
      <c r="S605" s="41"/>
    </row>
    <row r="606" spans="16:19" ht="13" x14ac:dyDescent="0.15">
      <c r="P606" s="40"/>
      <c r="S606" s="41"/>
    </row>
    <row r="607" spans="16:19" ht="13" x14ac:dyDescent="0.15">
      <c r="P607" s="40"/>
      <c r="S607" s="41"/>
    </row>
    <row r="608" spans="16:19" ht="13" x14ac:dyDescent="0.15">
      <c r="P608" s="40"/>
      <c r="S608" s="41"/>
    </row>
    <row r="609" spans="16:19" ht="13" x14ac:dyDescent="0.15">
      <c r="P609" s="40"/>
      <c r="S609" s="41"/>
    </row>
    <row r="610" spans="16:19" ht="13" x14ac:dyDescent="0.15">
      <c r="P610" s="40"/>
      <c r="S610" s="41"/>
    </row>
    <row r="611" spans="16:19" ht="13" x14ac:dyDescent="0.15">
      <c r="P611" s="40"/>
      <c r="S611" s="41"/>
    </row>
    <row r="612" spans="16:19" ht="13" x14ac:dyDescent="0.15">
      <c r="P612" s="40"/>
      <c r="S612" s="41"/>
    </row>
    <row r="613" spans="16:19" ht="13" x14ac:dyDescent="0.15">
      <c r="P613" s="40"/>
      <c r="S613" s="41"/>
    </row>
    <row r="614" spans="16:19" ht="13" x14ac:dyDescent="0.15">
      <c r="P614" s="40"/>
      <c r="S614" s="41"/>
    </row>
    <row r="615" spans="16:19" ht="13" x14ac:dyDescent="0.15">
      <c r="P615" s="40"/>
      <c r="S615" s="41"/>
    </row>
    <row r="616" spans="16:19" ht="13" x14ac:dyDescent="0.15">
      <c r="P616" s="40"/>
      <c r="S616" s="41"/>
    </row>
    <row r="617" spans="16:19" ht="13" x14ac:dyDescent="0.15">
      <c r="P617" s="40"/>
      <c r="S617" s="41"/>
    </row>
    <row r="618" spans="16:19" ht="13" x14ac:dyDescent="0.15">
      <c r="P618" s="40"/>
      <c r="S618" s="41"/>
    </row>
    <row r="619" spans="16:19" ht="13" x14ac:dyDescent="0.15">
      <c r="P619" s="40"/>
      <c r="S619" s="41"/>
    </row>
    <row r="620" spans="16:19" ht="13" x14ac:dyDescent="0.15">
      <c r="P620" s="40"/>
      <c r="S620" s="41"/>
    </row>
    <row r="621" spans="16:19" ht="13" x14ac:dyDescent="0.15">
      <c r="P621" s="40"/>
      <c r="S621" s="41"/>
    </row>
    <row r="622" spans="16:19" ht="13" x14ac:dyDescent="0.15">
      <c r="P622" s="40"/>
      <c r="S622" s="41"/>
    </row>
    <row r="623" spans="16:19" ht="13" x14ac:dyDescent="0.15">
      <c r="P623" s="40"/>
      <c r="S623" s="41"/>
    </row>
    <row r="624" spans="16:19" ht="13" x14ac:dyDescent="0.15">
      <c r="P624" s="40"/>
      <c r="S624" s="41"/>
    </row>
    <row r="625" spans="16:19" ht="13" x14ac:dyDescent="0.15">
      <c r="P625" s="40"/>
      <c r="S625" s="41"/>
    </row>
    <row r="626" spans="16:19" ht="13" x14ac:dyDescent="0.15">
      <c r="P626" s="40"/>
      <c r="S626" s="41"/>
    </row>
    <row r="627" spans="16:19" ht="13" x14ac:dyDescent="0.15">
      <c r="P627" s="40"/>
      <c r="S627" s="41"/>
    </row>
    <row r="628" spans="16:19" ht="13" x14ac:dyDescent="0.15">
      <c r="P628" s="40"/>
      <c r="S628" s="41"/>
    </row>
    <row r="629" spans="16:19" ht="13" x14ac:dyDescent="0.15">
      <c r="P629" s="40"/>
      <c r="S629" s="41"/>
    </row>
    <row r="630" spans="16:19" ht="13" x14ac:dyDescent="0.15">
      <c r="P630" s="40"/>
      <c r="S630" s="41"/>
    </row>
    <row r="631" spans="16:19" ht="13" x14ac:dyDescent="0.15">
      <c r="P631" s="40"/>
      <c r="S631" s="41"/>
    </row>
    <row r="632" spans="16:19" ht="13" x14ac:dyDescent="0.15">
      <c r="P632" s="40"/>
      <c r="S632" s="41"/>
    </row>
    <row r="633" spans="16:19" ht="13" x14ac:dyDescent="0.15">
      <c r="P633" s="40"/>
      <c r="S633" s="41"/>
    </row>
    <row r="634" spans="16:19" ht="13" x14ac:dyDescent="0.15">
      <c r="P634" s="40"/>
      <c r="S634" s="41"/>
    </row>
    <row r="635" spans="16:19" ht="13" x14ac:dyDescent="0.15">
      <c r="P635" s="40"/>
      <c r="S635" s="41"/>
    </row>
    <row r="636" spans="16:19" ht="13" x14ac:dyDescent="0.15">
      <c r="P636" s="40"/>
      <c r="S636" s="41"/>
    </row>
    <row r="637" spans="16:19" ht="13" x14ac:dyDescent="0.15">
      <c r="P637" s="40"/>
      <c r="S637" s="41"/>
    </row>
    <row r="638" spans="16:19" ht="13" x14ac:dyDescent="0.15">
      <c r="P638" s="40"/>
      <c r="S638" s="41"/>
    </row>
    <row r="639" spans="16:19" ht="13" x14ac:dyDescent="0.15">
      <c r="P639" s="40"/>
      <c r="S639" s="41"/>
    </row>
    <row r="640" spans="16:19" ht="13" x14ac:dyDescent="0.15">
      <c r="P640" s="40"/>
      <c r="S640" s="41"/>
    </row>
    <row r="641" spans="16:19" ht="13" x14ac:dyDescent="0.15">
      <c r="P641" s="40"/>
      <c r="S641" s="41"/>
    </row>
    <row r="642" spans="16:19" ht="13" x14ac:dyDescent="0.15">
      <c r="P642" s="40"/>
      <c r="S642" s="41"/>
    </row>
    <row r="643" spans="16:19" ht="13" x14ac:dyDescent="0.15">
      <c r="P643" s="40"/>
      <c r="S643" s="41"/>
    </row>
    <row r="644" spans="16:19" ht="13" x14ac:dyDescent="0.15">
      <c r="P644" s="40"/>
      <c r="S644" s="41"/>
    </row>
    <row r="645" spans="16:19" ht="13" x14ac:dyDescent="0.15">
      <c r="P645" s="40"/>
      <c r="S645" s="41"/>
    </row>
    <row r="646" spans="16:19" ht="13" x14ac:dyDescent="0.15">
      <c r="P646" s="40"/>
      <c r="S646" s="41"/>
    </row>
    <row r="647" spans="16:19" ht="13" x14ac:dyDescent="0.15">
      <c r="P647" s="40"/>
      <c r="S647" s="41"/>
    </row>
    <row r="648" spans="16:19" ht="13" x14ac:dyDescent="0.15">
      <c r="P648" s="40"/>
      <c r="S648" s="41"/>
    </row>
    <row r="649" spans="16:19" ht="13" x14ac:dyDescent="0.15">
      <c r="P649" s="40"/>
      <c r="S649" s="41"/>
    </row>
    <row r="650" spans="16:19" ht="13" x14ac:dyDescent="0.15">
      <c r="P650" s="40"/>
      <c r="S650" s="41"/>
    </row>
    <row r="651" spans="16:19" ht="13" x14ac:dyDescent="0.15">
      <c r="P651" s="40"/>
      <c r="S651" s="41"/>
    </row>
    <row r="652" spans="16:19" ht="13" x14ac:dyDescent="0.15">
      <c r="P652" s="40"/>
      <c r="S652" s="41"/>
    </row>
    <row r="653" spans="16:19" ht="13" x14ac:dyDescent="0.15">
      <c r="P653" s="40"/>
      <c r="S653" s="41"/>
    </row>
    <row r="654" spans="16:19" ht="13" x14ac:dyDescent="0.15">
      <c r="P654" s="40"/>
      <c r="S654" s="41"/>
    </row>
    <row r="655" spans="16:19" ht="13" x14ac:dyDescent="0.15">
      <c r="P655" s="40"/>
      <c r="S655" s="41"/>
    </row>
    <row r="656" spans="16:19" ht="13" x14ac:dyDescent="0.15">
      <c r="P656" s="40"/>
      <c r="S656" s="41"/>
    </row>
    <row r="657" spans="16:19" ht="13" x14ac:dyDescent="0.15">
      <c r="P657" s="40"/>
      <c r="S657" s="41"/>
    </row>
    <row r="658" spans="16:19" ht="13" x14ac:dyDescent="0.15">
      <c r="P658" s="40"/>
      <c r="S658" s="41"/>
    </row>
    <row r="659" spans="16:19" ht="13" x14ac:dyDescent="0.15">
      <c r="P659" s="40"/>
      <c r="S659" s="41"/>
    </row>
    <row r="660" spans="16:19" ht="13" x14ac:dyDescent="0.15">
      <c r="P660" s="40"/>
      <c r="S660" s="41"/>
    </row>
    <row r="661" spans="16:19" ht="13" x14ac:dyDescent="0.15">
      <c r="P661" s="40"/>
      <c r="S661" s="41"/>
    </row>
    <row r="662" spans="16:19" ht="13" x14ac:dyDescent="0.15">
      <c r="P662" s="40"/>
      <c r="S662" s="41"/>
    </row>
    <row r="663" spans="16:19" ht="13" x14ac:dyDescent="0.15">
      <c r="P663" s="40"/>
      <c r="S663" s="41"/>
    </row>
    <row r="664" spans="16:19" ht="13" x14ac:dyDescent="0.15">
      <c r="P664" s="40"/>
      <c r="S664" s="41"/>
    </row>
    <row r="665" spans="16:19" ht="13" x14ac:dyDescent="0.15">
      <c r="P665" s="40"/>
      <c r="S665" s="41"/>
    </row>
    <row r="666" spans="16:19" ht="13" x14ac:dyDescent="0.15">
      <c r="P666" s="40"/>
      <c r="S666" s="41"/>
    </row>
    <row r="667" spans="16:19" ht="13" x14ac:dyDescent="0.15">
      <c r="P667" s="40"/>
      <c r="S667" s="41"/>
    </row>
    <row r="668" spans="16:19" ht="13" x14ac:dyDescent="0.15">
      <c r="P668" s="40"/>
      <c r="S668" s="41"/>
    </row>
    <row r="669" spans="16:19" ht="13" x14ac:dyDescent="0.15">
      <c r="P669" s="40"/>
      <c r="S669" s="41"/>
    </row>
    <row r="670" spans="16:19" ht="13" x14ac:dyDescent="0.15">
      <c r="P670" s="40"/>
      <c r="S670" s="41"/>
    </row>
    <row r="671" spans="16:19" ht="13" x14ac:dyDescent="0.15">
      <c r="P671" s="40"/>
      <c r="S671" s="41"/>
    </row>
    <row r="672" spans="16:19" ht="13" x14ac:dyDescent="0.15">
      <c r="P672" s="40"/>
      <c r="S672" s="41"/>
    </row>
    <row r="673" spans="16:19" ht="13" x14ac:dyDescent="0.15">
      <c r="P673" s="40"/>
      <c r="S673" s="41"/>
    </row>
    <row r="674" spans="16:19" ht="13" x14ac:dyDescent="0.15">
      <c r="P674" s="40"/>
      <c r="S674" s="41"/>
    </row>
    <row r="675" spans="16:19" ht="13" x14ac:dyDescent="0.15">
      <c r="P675" s="40"/>
      <c r="S675" s="41"/>
    </row>
    <row r="676" spans="16:19" ht="13" x14ac:dyDescent="0.15">
      <c r="P676" s="40"/>
      <c r="S676" s="41"/>
    </row>
    <row r="677" spans="16:19" ht="13" x14ac:dyDescent="0.15">
      <c r="P677" s="40"/>
      <c r="S677" s="41"/>
    </row>
    <row r="678" spans="16:19" ht="13" x14ac:dyDescent="0.15">
      <c r="P678" s="40"/>
      <c r="S678" s="41"/>
    </row>
    <row r="679" spans="16:19" ht="13" x14ac:dyDescent="0.15">
      <c r="P679" s="40"/>
      <c r="S679" s="41"/>
    </row>
    <row r="680" spans="16:19" ht="13" x14ac:dyDescent="0.15">
      <c r="P680" s="40"/>
      <c r="S680" s="41"/>
    </row>
    <row r="681" spans="16:19" ht="13" x14ac:dyDescent="0.15">
      <c r="P681" s="40"/>
      <c r="S681" s="41"/>
    </row>
    <row r="682" spans="16:19" ht="13" x14ac:dyDescent="0.15">
      <c r="P682" s="40"/>
      <c r="S682" s="41"/>
    </row>
    <row r="683" spans="16:19" ht="13" x14ac:dyDescent="0.15">
      <c r="P683" s="40"/>
      <c r="S683" s="41"/>
    </row>
    <row r="684" spans="16:19" ht="13" x14ac:dyDescent="0.15">
      <c r="P684" s="40"/>
      <c r="S684" s="41"/>
    </row>
    <row r="685" spans="16:19" ht="13" x14ac:dyDescent="0.15">
      <c r="P685" s="40"/>
      <c r="S685" s="41"/>
    </row>
    <row r="686" spans="16:19" ht="13" x14ac:dyDescent="0.15">
      <c r="P686" s="40"/>
      <c r="S686" s="41"/>
    </row>
    <row r="687" spans="16:19" ht="13" x14ac:dyDescent="0.15">
      <c r="P687" s="40"/>
      <c r="S687" s="41"/>
    </row>
    <row r="688" spans="16:19" ht="13" x14ac:dyDescent="0.15">
      <c r="P688" s="40"/>
      <c r="S688" s="41"/>
    </row>
    <row r="689" spans="16:19" ht="13" x14ac:dyDescent="0.15">
      <c r="P689" s="40"/>
      <c r="S689" s="41"/>
    </row>
    <row r="690" spans="16:19" ht="13" x14ac:dyDescent="0.15">
      <c r="P690" s="40"/>
      <c r="S690" s="41"/>
    </row>
    <row r="691" spans="16:19" ht="13" x14ac:dyDescent="0.15">
      <c r="P691" s="40"/>
      <c r="S691" s="41"/>
    </row>
    <row r="692" spans="16:19" ht="13" x14ac:dyDescent="0.15">
      <c r="P692" s="40"/>
      <c r="S692" s="41"/>
    </row>
    <row r="693" spans="16:19" ht="13" x14ac:dyDescent="0.15">
      <c r="P693" s="40"/>
      <c r="S693" s="41"/>
    </row>
    <row r="694" spans="16:19" ht="13" x14ac:dyDescent="0.15">
      <c r="P694" s="40"/>
      <c r="S694" s="41"/>
    </row>
    <row r="695" spans="16:19" ht="13" x14ac:dyDescent="0.15">
      <c r="P695" s="40"/>
      <c r="S695" s="41"/>
    </row>
    <row r="696" spans="16:19" ht="13" x14ac:dyDescent="0.15">
      <c r="P696" s="40"/>
      <c r="S696" s="41"/>
    </row>
    <row r="697" spans="16:19" ht="13" x14ac:dyDescent="0.15">
      <c r="P697" s="40"/>
      <c r="S697" s="41"/>
    </row>
    <row r="698" spans="16:19" ht="13" x14ac:dyDescent="0.15">
      <c r="P698" s="40"/>
      <c r="S698" s="41"/>
    </row>
    <row r="699" spans="16:19" ht="13" x14ac:dyDescent="0.15">
      <c r="P699" s="40"/>
      <c r="S699" s="41"/>
    </row>
    <row r="700" spans="16:19" ht="13" x14ac:dyDescent="0.15">
      <c r="P700" s="40"/>
      <c r="S700" s="41"/>
    </row>
    <row r="701" spans="16:19" ht="13" x14ac:dyDescent="0.15">
      <c r="P701" s="40"/>
      <c r="S701" s="41"/>
    </row>
    <row r="702" spans="16:19" ht="13" x14ac:dyDescent="0.15">
      <c r="P702" s="40"/>
      <c r="S702" s="41"/>
    </row>
    <row r="703" spans="16:19" ht="13" x14ac:dyDescent="0.15">
      <c r="P703" s="40"/>
      <c r="S703" s="41"/>
    </row>
    <row r="704" spans="16:19" ht="13" x14ac:dyDescent="0.15">
      <c r="P704" s="40"/>
      <c r="S704" s="41"/>
    </row>
    <row r="705" spans="16:19" ht="13" x14ac:dyDescent="0.15">
      <c r="P705" s="40"/>
      <c r="S705" s="41"/>
    </row>
    <row r="706" spans="16:19" ht="13" x14ac:dyDescent="0.15">
      <c r="P706" s="40"/>
      <c r="S706" s="41"/>
    </row>
    <row r="707" spans="16:19" ht="13" x14ac:dyDescent="0.15">
      <c r="P707" s="40"/>
      <c r="S707" s="41"/>
    </row>
    <row r="708" spans="16:19" ht="13" x14ac:dyDescent="0.15">
      <c r="P708" s="40"/>
      <c r="S708" s="41"/>
    </row>
    <row r="709" spans="16:19" ht="13" x14ac:dyDescent="0.15">
      <c r="P709" s="40"/>
      <c r="S709" s="41"/>
    </row>
    <row r="710" spans="16:19" ht="13" x14ac:dyDescent="0.15">
      <c r="P710" s="40"/>
      <c r="S710" s="41"/>
    </row>
    <row r="711" spans="16:19" ht="13" x14ac:dyDescent="0.15">
      <c r="P711" s="40"/>
      <c r="S711" s="41"/>
    </row>
    <row r="712" spans="16:19" ht="13" x14ac:dyDescent="0.15">
      <c r="P712" s="40"/>
      <c r="S712" s="41"/>
    </row>
    <row r="713" spans="16:19" ht="13" x14ac:dyDescent="0.15">
      <c r="P713" s="40"/>
      <c r="S713" s="41"/>
    </row>
    <row r="714" spans="16:19" ht="13" x14ac:dyDescent="0.15">
      <c r="P714" s="40"/>
      <c r="S714" s="41"/>
    </row>
    <row r="715" spans="16:19" ht="13" x14ac:dyDescent="0.15">
      <c r="P715" s="40"/>
      <c r="S715" s="41"/>
    </row>
    <row r="716" spans="16:19" ht="13" x14ac:dyDescent="0.15">
      <c r="P716" s="40"/>
      <c r="S716" s="41"/>
    </row>
    <row r="717" spans="16:19" ht="13" x14ac:dyDescent="0.15">
      <c r="P717" s="40"/>
      <c r="S717" s="41"/>
    </row>
    <row r="718" spans="16:19" ht="13" x14ac:dyDescent="0.15">
      <c r="P718" s="40"/>
      <c r="S718" s="41"/>
    </row>
    <row r="719" spans="16:19" ht="13" x14ac:dyDescent="0.15">
      <c r="P719" s="40"/>
      <c r="S719" s="41"/>
    </row>
    <row r="720" spans="16:19" ht="13" x14ac:dyDescent="0.15">
      <c r="P720" s="40"/>
      <c r="S720" s="41"/>
    </row>
    <row r="721" spans="16:19" ht="13" x14ac:dyDescent="0.15">
      <c r="P721" s="40"/>
      <c r="S721" s="41"/>
    </row>
    <row r="722" spans="16:19" ht="13" x14ac:dyDescent="0.15">
      <c r="P722" s="40"/>
      <c r="S722" s="41"/>
    </row>
    <row r="723" spans="16:19" ht="13" x14ac:dyDescent="0.15">
      <c r="P723" s="40"/>
      <c r="S723" s="41"/>
    </row>
    <row r="724" spans="16:19" ht="13" x14ac:dyDescent="0.15">
      <c r="P724" s="40"/>
      <c r="S724" s="41"/>
    </row>
    <row r="725" spans="16:19" ht="13" x14ac:dyDescent="0.15">
      <c r="P725" s="40"/>
      <c r="S725" s="41"/>
    </row>
    <row r="726" spans="16:19" ht="13" x14ac:dyDescent="0.15">
      <c r="P726" s="40"/>
      <c r="S726" s="41"/>
    </row>
    <row r="727" spans="16:19" ht="13" x14ac:dyDescent="0.15">
      <c r="P727" s="40"/>
      <c r="S727" s="41"/>
    </row>
    <row r="728" spans="16:19" ht="13" x14ac:dyDescent="0.15">
      <c r="P728" s="40"/>
      <c r="S728" s="41"/>
    </row>
    <row r="729" spans="16:19" ht="13" x14ac:dyDescent="0.15">
      <c r="P729" s="40"/>
      <c r="S729" s="41"/>
    </row>
    <row r="730" spans="16:19" ht="13" x14ac:dyDescent="0.15">
      <c r="P730" s="40"/>
      <c r="S730" s="41"/>
    </row>
    <row r="731" spans="16:19" ht="13" x14ac:dyDescent="0.15">
      <c r="P731" s="40"/>
      <c r="S731" s="41"/>
    </row>
    <row r="732" spans="16:19" ht="13" x14ac:dyDescent="0.15">
      <c r="P732" s="40"/>
      <c r="S732" s="41"/>
    </row>
    <row r="733" spans="16:19" ht="13" x14ac:dyDescent="0.15">
      <c r="P733" s="40"/>
      <c r="S733" s="41"/>
    </row>
    <row r="734" spans="16:19" ht="13" x14ac:dyDescent="0.15">
      <c r="P734" s="40"/>
      <c r="S734" s="41"/>
    </row>
    <row r="735" spans="16:19" ht="13" x14ac:dyDescent="0.15">
      <c r="P735" s="40"/>
      <c r="S735" s="41"/>
    </row>
    <row r="736" spans="16:19" ht="13" x14ac:dyDescent="0.15">
      <c r="P736" s="40"/>
      <c r="S736" s="41"/>
    </row>
    <row r="737" spans="16:19" ht="13" x14ac:dyDescent="0.15">
      <c r="P737" s="40"/>
      <c r="S737" s="41"/>
    </row>
    <row r="738" spans="16:19" ht="13" x14ac:dyDescent="0.15">
      <c r="P738" s="40"/>
      <c r="S738" s="41"/>
    </row>
    <row r="739" spans="16:19" ht="13" x14ac:dyDescent="0.15">
      <c r="P739" s="40"/>
      <c r="S739" s="41"/>
    </row>
    <row r="740" spans="16:19" ht="13" x14ac:dyDescent="0.15">
      <c r="P740" s="40"/>
      <c r="S740" s="41"/>
    </row>
    <row r="741" spans="16:19" ht="13" x14ac:dyDescent="0.15">
      <c r="P741" s="40"/>
      <c r="S741" s="41"/>
    </row>
    <row r="742" spans="16:19" ht="13" x14ac:dyDescent="0.15">
      <c r="P742" s="40"/>
      <c r="S742" s="41"/>
    </row>
    <row r="743" spans="16:19" ht="13" x14ac:dyDescent="0.15">
      <c r="P743" s="40"/>
      <c r="S743" s="41"/>
    </row>
    <row r="744" spans="16:19" ht="13" x14ac:dyDescent="0.15">
      <c r="P744" s="40"/>
      <c r="S744" s="41"/>
    </row>
    <row r="745" spans="16:19" ht="13" x14ac:dyDescent="0.15">
      <c r="P745" s="40"/>
      <c r="S745" s="41"/>
    </row>
    <row r="746" spans="16:19" ht="13" x14ac:dyDescent="0.15">
      <c r="P746" s="40"/>
      <c r="S746" s="41"/>
    </row>
    <row r="747" spans="16:19" ht="13" x14ac:dyDescent="0.15">
      <c r="P747" s="40"/>
      <c r="S747" s="41"/>
    </row>
    <row r="748" spans="16:19" ht="13" x14ac:dyDescent="0.15">
      <c r="P748" s="40"/>
      <c r="S748" s="41"/>
    </row>
    <row r="749" spans="16:19" ht="13" x14ac:dyDescent="0.15">
      <c r="P749" s="40"/>
      <c r="S749" s="41"/>
    </row>
    <row r="750" spans="16:19" ht="13" x14ac:dyDescent="0.15">
      <c r="P750" s="40"/>
      <c r="S750" s="41"/>
    </row>
    <row r="751" spans="16:19" ht="13" x14ac:dyDescent="0.15">
      <c r="P751" s="40"/>
      <c r="S751" s="41"/>
    </row>
    <row r="752" spans="16:19" ht="13" x14ac:dyDescent="0.15">
      <c r="P752" s="40"/>
      <c r="S752" s="41"/>
    </row>
    <row r="753" spans="16:19" ht="13" x14ac:dyDescent="0.15">
      <c r="P753" s="40"/>
      <c r="S753" s="41"/>
    </row>
    <row r="754" spans="16:19" ht="13" x14ac:dyDescent="0.15">
      <c r="P754" s="40"/>
      <c r="S754" s="41"/>
    </row>
    <row r="755" spans="16:19" ht="13" x14ac:dyDescent="0.15">
      <c r="P755" s="40"/>
      <c r="S755" s="41"/>
    </row>
    <row r="756" spans="16:19" ht="13" x14ac:dyDescent="0.15">
      <c r="P756" s="40"/>
      <c r="S756" s="41"/>
    </row>
    <row r="757" spans="16:19" ht="13" x14ac:dyDescent="0.15">
      <c r="P757" s="40"/>
      <c r="S757" s="41"/>
    </row>
    <row r="758" spans="16:19" ht="13" x14ac:dyDescent="0.15">
      <c r="P758" s="40"/>
      <c r="S758" s="41"/>
    </row>
    <row r="759" spans="16:19" ht="13" x14ac:dyDescent="0.15">
      <c r="P759" s="40"/>
      <c r="S759" s="41"/>
    </row>
    <row r="760" spans="16:19" ht="13" x14ac:dyDescent="0.15">
      <c r="P760" s="40"/>
      <c r="S760" s="41"/>
    </row>
    <row r="761" spans="16:19" ht="13" x14ac:dyDescent="0.15">
      <c r="P761" s="40"/>
      <c r="S761" s="41"/>
    </row>
    <row r="762" spans="16:19" ht="13" x14ac:dyDescent="0.15">
      <c r="P762" s="40"/>
      <c r="S762" s="41"/>
    </row>
    <row r="763" spans="16:19" ht="13" x14ac:dyDescent="0.15">
      <c r="P763" s="40"/>
      <c r="S763" s="41"/>
    </row>
    <row r="764" spans="16:19" ht="13" x14ac:dyDescent="0.15">
      <c r="P764" s="40"/>
      <c r="S764" s="41"/>
    </row>
    <row r="765" spans="16:19" ht="13" x14ac:dyDescent="0.15">
      <c r="P765" s="40"/>
      <c r="S765" s="41"/>
    </row>
    <row r="766" spans="16:19" ht="13" x14ac:dyDescent="0.15">
      <c r="P766" s="40"/>
      <c r="S766" s="41"/>
    </row>
    <row r="767" spans="16:19" ht="13" x14ac:dyDescent="0.15">
      <c r="P767" s="40"/>
      <c r="S767" s="41"/>
    </row>
    <row r="768" spans="16:19" ht="13" x14ac:dyDescent="0.15">
      <c r="P768" s="40"/>
      <c r="S768" s="41"/>
    </row>
    <row r="769" spans="16:19" ht="13" x14ac:dyDescent="0.15">
      <c r="P769" s="40"/>
      <c r="S769" s="41"/>
    </row>
    <row r="770" spans="16:19" ht="13" x14ac:dyDescent="0.15">
      <c r="P770" s="40"/>
      <c r="S770" s="41"/>
    </row>
    <row r="771" spans="16:19" ht="13" x14ac:dyDescent="0.15">
      <c r="P771" s="40"/>
      <c r="S771" s="41"/>
    </row>
    <row r="772" spans="16:19" ht="13" x14ac:dyDescent="0.15">
      <c r="P772" s="40"/>
      <c r="S772" s="41"/>
    </row>
    <row r="773" spans="16:19" ht="13" x14ac:dyDescent="0.15">
      <c r="P773" s="40"/>
      <c r="S773" s="41"/>
    </row>
    <row r="774" spans="16:19" ht="13" x14ac:dyDescent="0.15">
      <c r="P774" s="40"/>
      <c r="S774" s="41"/>
    </row>
    <row r="775" spans="16:19" ht="13" x14ac:dyDescent="0.15">
      <c r="P775" s="40"/>
      <c r="S775" s="41"/>
    </row>
    <row r="776" spans="16:19" ht="13" x14ac:dyDescent="0.15">
      <c r="P776" s="40"/>
      <c r="S776" s="41"/>
    </row>
    <row r="777" spans="16:19" ht="13" x14ac:dyDescent="0.15">
      <c r="P777" s="40"/>
      <c r="S777" s="41"/>
    </row>
    <row r="778" spans="16:19" ht="13" x14ac:dyDescent="0.15">
      <c r="P778" s="40"/>
      <c r="S778" s="41"/>
    </row>
    <row r="779" spans="16:19" ht="13" x14ac:dyDescent="0.15">
      <c r="P779" s="40"/>
      <c r="S779" s="41"/>
    </row>
    <row r="780" spans="16:19" ht="13" x14ac:dyDescent="0.15">
      <c r="P780" s="40"/>
      <c r="S780" s="41"/>
    </row>
    <row r="781" spans="16:19" ht="13" x14ac:dyDescent="0.15">
      <c r="P781" s="40"/>
      <c r="S781" s="41"/>
    </row>
    <row r="782" spans="16:19" ht="13" x14ac:dyDescent="0.15">
      <c r="P782" s="40"/>
      <c r="S782" s="41"/>
    </row>
    <row r="783" spans="16:19" ht="13" x14ac:dyDescent="0.15">
      <c r="P783" s="40"/>
      <c r="S783" s="41"/>
    </row>
    <row r="784" spans="16:19" ht="13" x14ac:dyDescent="0.15">
      <c r="P784" s="40"/>
      <c r="S784" s="41"/>
    </row>
    <row r="785" spans="16:19" ht="13" x14ac:dyDescent="0.15">
      <c r="P785" s="40"/>
      <c r="S785" s="41"/>
    </row>
    <row r="786" spans="16:19" ht="13" x14ac:dyDescent="0.15">
      <c r="P786" s="40"/>
      <c r="S786" s="41"/>
    </row>
    <row r="787" spans="16:19" ht="13" x14ac:dyDescent="0.15">
      <c r="P787" s="40"/>
      <c r="S787" s="41"/>
    </row>
    <row r="788" spans="16:19" ht="13" x14ac:dyDescent="0.15">
      <c r="P788" s="40"/>
      <c r="S788" s="41"/>
    </row>
    <row r="789" spans="16:19" ht="13" x14ac:dyDescent="0.15">
      <c r="P789" s="40"/>
      <c r="S789" s="41"/>
    </row>
    <row r="790" spans="16:19" ht="13" x14ac:dyDescent="0.15">
      <c r="P790" s="40"/>
      <c r="S790" s="41"/>
    </row>
    <row r="791" spans="16:19" ht="13" x14ac:dyDescent="0.15">
      <c r="P791" s="40"/>
      <c r="S791" s="41"/>
    </row>
    <row r="792" spans="16:19" ht="13" x14ac:dyDescent="0.15">
      <c r="P792" s="40"/>
      <c r="S792" s="41"/>
    </row>
    <row r="793" spans="16:19" ht="13" x14ac:dyDescent="0.15">
      <c r="P793" s="40"/>
      <c r="S793" s="41"/>
    </row>
    <row r="794" spans="16:19" ht="13" x14ac:dyDescent="0.15">
      <c r="P794" s="40"/>
      <c r="S794" s="41"/>
    </row>
    <row r="795" spans="16:19" ht="13" x14ac:dyDescent="0.15">
      <c r="P795" s="40"/>
      <c r="S795" s="41"/>
    </row>
    <row r="796" spans="16:19" ht="13" x14ac:dyDescent="0.15">
      <c r="P796" s="40"/>
      <c r="S796" s="41"/>
    </row>
    <row r="797" spans="16:19" ht="13" x14ac:dyDescent="0.15">
      <c r="P797" s="40"/>
      <c r="S797" s="41"/>
    </row>
    <row r="798" spans="16:19" ht="13" x14ac:dyDescent="0.15">
      <c r="P798" s="40"/>
      <c r="S798" s="41"/>
    </row>
    <row r="799" spans="16:19" ht="13" x14ac:dyDescent="0.15">
      <c r="P799" s="40"/>
      <c r="S799" s="41"/>
    </row>
    <row r="800" spans="16:19" ht="13" x14ac:dyDescent="0.15">
      <c r="P800" s="40"/>
      <c r="S800" s="41"/>
    </row>
    <row r="801" spans="16:19" ht="13" x14ac:dyDescent="0.15">
      <c r="P801" s="40"/>
      <c r="S801" s="41"/>
    </row>
    <row r="802" spans="16:19" ht="13" x14ac:dyDescent="0.15">
      <c r="P802" s="40"/>
      <c r="S802" s="41"/>
    </row>
    <row r="803" spans="16:19" ht="13" x14ac:dyDescent="0.15">
      <c r="P803" s="40"/>
      <c r="S803" s="41"/>
    </row>
    <row r="804" spans="16:19" ht="13" x14ac:dyDescent="0.15">
      <c r="P804" s="40"/>
      <c r="S804" s="41"/>
    </row>
    <row r="805" spans="16:19" ht="13" x14ac:dyDescent="0.15">
      <c r="P805" s="40"/>
      <c r="S805" s="41"/>
    </row>
    <row r="806" spans="16:19" ht="13" x14ac:dyDescent="0.15">
      <c r="P806" s="40"/>
      <c r="S806" s="41"/>
    </row>
    <row r="807" spans="16:19" ht="13" x14ac:dyDescent="0.15">
      <c r="P807" s="40"/>
      <c r="S807" s="41"/>
    </row>
    <row r="808" spans="16:19" ht="13" x14ac:dyDescent="0.15">
      <c r="P808" s="40"/>
      <c r="S808" s="41"/>
    </row>
    <row r="809" spans="16:19" ht="13" x14ac:dyDescent="0.15">
      <c r="P809" s="40"/>
      <c r="S809" s="41"/>
    </row>
    <row r="810" spans="16:19" ht="13" x14ac:dyDescent="0.15">
      <c r="P810" s="40"/>
      <c r="S810" s="41"/>
    </row>
    <row r="811" spans="16:19" ht="13" x14ac:dyDescent="0.15">
      <c r="P811" s="40"/>
      <c r="S811" s="41"/>
    </row>
    <row r="812" spans="16:19" ht="13" x14ac:dyDescent="0.15">
      <c r="P812" s="40"/>
      <c r="S812" s="41"/>
    </row>
    <row r="813" spans="16:19" ht="13" x14ac:dyDescent="0.15">
      <c r="P813" s="40"/>
      <c r="S813" s="41"/>
    </row>
    <row r="814" spans="16:19" ht="13" x14ac:dyDescent="0.15">
      <c r="P814" s="40"/>
      <c r="S814" s="41"/>
    </row>
    <row r="815" spans="16:19" ht="13" x14ac:dyDescent="0.15">
      <c r="P815" s="40"/>
      <c r="S815" s="41"/>
    </row>
    <row r="816" spans="16:19" ht="13" x14ac:dyDescent="0.15">
      <c r="P816" s="40"/>
      <c r="S816" s="41"/>
    </row>
    <row r="817" spans="16:19" ht="13" x14ac:dyDescent="0.15">
      <c r="P817" s="40"/>
      <c r="S817" s="41"/>
    </row>
    <row r="818" spans="16:19" ht="13" x14ac:dyDescent="0.15">
      <c r="P818" s="40"/>
      <c r="S818" s="41"/>
    </row>
    <row r="819" spans="16:19" ht="13" x14ac:dyDescent="0.15">
      <c r="P819" s="40"/>
      <c r="S819" s="41"/>
    </row>
    <row r="820" spans="16:19" ht="13" x14ac:dyDescent="0.15">
      <c r="P820" s="40"/>
      <c r="S820" s="41"/>
    </row>
    <row r="821" spans="16:19" ht="13" x14ac:dyDescent="0.15">
      <c r="P821" s="40"/>
      <c r="S821" s="41"/>
    </row>
    <row r="822" spans="16:19" ht="13" x14ac:dyDescent="0.15">
      <c r="P822" s="40"/>
      <c r="S822" s="41"/>
    </row>
    <row r="823" spans="16:19" ht="13" x14ac:dyDescent="0.15">
      <c r="P823" s="40"/>
      <c r="S823" s="41"/>
    </row>
    <row r="824" spans="16:19" ht="13" x14ac:dyDescent="0.15">
      <c r="P824" s="40"/>
      <c r="S824" s="41"/>
    </row>
    <row r="825" spans="16:19" ht="13" x14ac:dyDescent="0.15">
      <c r="P825" s="40"/>
      <c r="S825" s="41"/>
    </row>
    <row r="826" spans="16:19" ht="13" x14ac:dyDescent="0.15">
      <c r="P826" s="40"/>
      <c r="S826" s="41"/>
    </row>
    <row r="827" spans="16:19" ht="13" x14ac:dyDescent="0.15">
      <c r="P827" s="40"/>
      <c r="S827" s="41"/>
    </row>
    <row r="828" spans="16:19" ht="13" x14ac:dyDescent="0.15">
      <c r="P828" s="40"/>
      <c r="S828" s="41"/>
    </row>
    <row r="829" spans="16:19" ht="13" x14ac:dyDescent="0.15">
      <c r="P829" s="40"/>
      <c r="S829" s="41"/>
    </row>
    <row r="830" spans="16:19" ht="13" x14ac:dyDescent="0.15">
      <c r="P830" s="40"/>
      <c r="S830" s="41"/>
    </row>
    <row r="831" spans="16:19" ht="13" x14ac:dyDescent="0.15">
      <c r="P831" s="40"/>
      <c r="S831" s="41"/>
    </row>
    <row r="832" spans="16:19" ht="13" x14ac:dyDescent="0.15">
      <c r="P832" s="40"/>
      <c r="S832" s="41"/>
    </row>
    <row r="833" spans="16:19" ht="13" x14ac:dyDescent="0.15">
      <c r="P833" s="40"/>
      <c r="S833" s="41"/>
    </row>
    <row r="834" spans="16:19" ht="13" x14ac:dyDescent="0.15">
      <c r="P834" s="40"/>
      <c r="S834" s="41"/>
    </row>
    <row r="835" spans="16:19" ht="13" x14ac:dyDescent="0.15">
      <c r="P835" s="40"/>
      <c r="S835" s="41"/>
    </row>
    <row r="836" spans="16:19" ht="13" x14ac:dyDescent="0.15">
      <c r="P836" s="40"/>
      <c r="S836" s="41"/>
    </row>
    <row r="837" spans="16:19" ht="13" x14ac:dyDescent="0.15">
      <c r="P837" s="40"/>
      <c r="S837" s="41"/>
    </row>
    <row r="838" spans="16:19" ht="13" x14ac:dyDescent="0.15">
      <c r="P838" s="40"/>
      <c r="S838" s="41"/>
    </row>
    <row r="839" spans="16:19" ht="13" x14ac:dyDescent="0.15">
      <c r="P839" s="40"/>
      <c r="S839" s="41"/>
    </row>
    <row r="840" spans="16:19" ht="13" x14ac:dyDescent="0.15">
      <c r="P840" s="40"/>
      <c r="S840" s="41"/>
    </row>
    <row r="841" spans="16:19" ht="13" x14ac:dyDescent="0.15">
      <c r="P841" s="40"/>
      <c r="S841" s="41"/>
    </row>
    <row r="842" spans="16:19" ht="13" x14ac:dyDescent="0.15">
      <c r="P842" s="40"/>
      <c r="S842" s="41"/>
    </row>
    <row r="843" spans="16:19" ht="13" x14ac:dyDescent="0.15">
      <c r="P843" s="40"/>
      <c r="S843" s="41"/>
    </row>
    <row r="844" spans="16:19" ht="13" x14ac:dyDescent="0.15">
      <c r="P844" s="40"/>
      <c r="S844" s="41"/>
    </row>
    <row r="845" spans="16:19" ht="13" x14ac:dyDescent="0.15">
      <c r="P845" s="40"/>
      <c r="S845" s="41"/>
    </row>
    <row r="846" spans="16:19" ht="13" x14ac:dyDescent="0.15">
      <c r="P846" s="40"/>
      <c r="S846" s="41"/>
    </row>
    <row r="847" spans="16:19" ht="13" x14ac:dyDescent="0.15">
      <c r="P847" s="40"/>
      <c r="S847" s="41"/>
    </row>
    <row r="848" spans="16:19" ht="13" x14ac:dyDescent="0.15">
      <c r="P848" s="40"/>
      <c r="S848" s="41"/>
    </row>
    <row r="849" spans="16:19" ht="13" x14ac:dyDescent="0.15">
      <c r="P849" s="40"/>
      <c r="S849" s="41"/>
    </row>
    <row r="850" spans="16:19" ht="13" x14ac:dyDescent="0.15">
      <c r="P850" s="40"/>
      <c r="S850" s="41"/>
    </row>
    <row r="851" spans="16:19" ht="13" x14ac:dyDescent="0.15">
      <c r="P851" s="40"/>
      <c r="S851" s="41"/>
    </row>
    <row r="852" spans="16:19" ht="13" x14ac:dyDescent="0.15">
      <c r="P852" s="40"/>
      <c r="S852" s="41"/>
    </row>
    <row r="853" spans="16:19" ht="13" x14ac:dyDescent="0.15">
      <c r="P853" s="40"/>
      <c r="S853" s="41"/>
    </row>
    <row r="854" spans="16:19" ht="13" x14ac:dyDescent="0.15">
      <c r="P854" s="40"/>
      <c r="S854" s="41"/>
    </row>
    <row r="855" spans="16:19" ht="13" x14ac:dyDescent="0.15">
      <c r="P855" s="40"/>
      <c r="S855" s="41"/>
    </row>
    <row r="856" spans="16:19" ht="13" x14ac:dyDescent="0.15">
      <c r="P856" s="40"/>
      <c r="S856" s="41"/>
    </row>
    <row r="857" spans="16:19" ht="13" x14ac:dyDescent="0.15">
      <c r="P857" s="40"/>
      <c r="S857" s="41"/>
    </row>
    <row r="858" spans="16:19" ht="13" x14ac:dyDescent="0.15">
      <c r="P858" s="40"/>
      <c r="S858" s="41"/>
    </row>
    <row r="859" spans="16:19" ht="13" x14ac:dyDescent="0.15">
      <c r="P859" s="40"/>
      <c r="S859" s="41"/>
    </row>
    <row r="860" spans="16:19" ht="13" x14ac:dyDescent="0.15">
      <c r="P860" s="40"/>
      <c r="S860" s="41"/>
    </row>
    <row r="861" spans="16:19" ht="13" x14ac:dyDescent="0.15">
      <c r="P861" s="40"/>
      <c r="S861" s="41"/>
    </row>
    <row r="862" spans="16:19" ht="13" x14ac:dyDescent="0.15">
      <c r="P862" s="40"/>
      <c r="S862" s="41"/>
    </row>
    <row r="863" spans="16:19" ht="13" x14ac:dyDescent="0.15">
      <c r="P863" s="40"/>
      <c r="S863" s="41"/>
    </row>
    <row r="864" spans="16:19" ht="13" x14ac:dyDescent="0.15">
      <c r="P864" s="40"/>
      <c r="S864" s="41"/>
    </row>
    <row r="865" spans="16:19" ht="13" x14ac:dyDescent="0.15">
      <c r="P865" s="40"/>
      <c r="S865" s="41"/>
    </row>
    <row r="866" spans="16:19" ht="13" x14ac:dyDescent="0.15">
      <c r="P866" s="40"/>
      <c r="S866" s="41"/>
    </row>
    <row r="867" spans="16:19" ht="13" x14ac:dyDescent="0.15">
      <c r="P867" s="40"/>
      <c r="S867" s="41"/>
    </row>
    <row r="868" spans="16:19" ht="13" x14ac:dyDescent="0.15">
      <c r="P868" s="40"/>
      <c r="S868" s="41"/>
    </row>
    <row r="869" spans="16:19" ht="13" x14ac:dyDescent="0.15">
      <c r="P869" s="40"/>
      <c r="S869" s="41"/>
    </row>
    <row r="870" spans="16:19" ht="13" x14ac:dyDescent="0.15">
      <c r="P870" s="40"/>
      <c r="S870" s="41"/>
    </row>
    <row r="871" spans="16:19" ht="13" x14ac:dyDescent="0.15">
      <c r="P871" s="40"/>
      <c r="S871" s="41"/>
    </row>
    <row r="872" spans="16:19" ht="13" x14ac:dyDescent="0.15">
      <c r="P872" s="40"/>
      <c r="S872" s="41"/>
    </row>
    <row r="873" spans="16:19" ht="13" x14ac:dyDescent="0.15">
      <c r="P873" s="40"/>
      <c r="S873" s="41"/>
    </row>
    <row r="874" spans="16:19" ht="13" x14ac:dyDescent="0.15">
      <c r="P874" s="40"/>
      <c r="S874" s="41"/>
    </row>
    <row r="875" spans="16:19" ht="13" x14ac:dyDescent="0.15">
      <c r="P875" s="40"/>
      <c r="S875" s="41"/>
    </row>
    <row r="876" spans="16:19" ht="13" x14ac:dyDescent="0.15">
      <c r="P876" s="40"/>
      <c r="S876" s="41"/>
    </row>
    <row r="877" spans="16:19" ht="13" x14ac:dyDescent="0.15">
      <c r="P877" s="40"/>
      <c r="S877" s="41"/>
    </row>
    <row r="878" spans="16:19" ht="13" x14ac:dyDescent="0.15">
      <c r="P878" s="40"/>
      <c r="S878" s="41"/>
    </row>
    <row r="879" spans="16:19" ht="13" x14ac:dyDescent="0.15">
      <c r="P879" s="40"/>
      <c r="S879" s="41"/>
    </row>
    <row r="880" spans="16:19" ht="13" x14ac:dyDescent="0.15">
      <c r="P880" s="40"/>
      <c r="S880" s="41"/>
    </row>
    <row r="881" spans="16:19" ht="13" x14ac:dyDescent="0.15">
      <c r="P881" s="40"/>
      <c r="S881" s="41"/>
    </row>
    <row r="882" spans="16:19" ht="13" x14ac:dyDescent="0.15">
      <c r="P882" s="40"/>
      <c r="S882" s="41"/>
    </row>
    <row r="883" spans="16:19" ht="13" x14ac:dyDescent="0.15">
      <c r="P883" s="40"/>
      <c r="S883" s="41"/>
    </row>
    <row r="884" spans="16:19" ht="13" x14ac:dyDescent="0.15">
      <c r="P884" s="40"/>
      <c r="S884" s="41"/>
    </row>
    <row r="885" spans="16:19" ht="13" x14ac:dyDescent="0.15">
      <c r="P885" s="40"/>
      <c r="S885" s="41"/>
    </row>
    <row r="886" spans="16:19" ht="13" x14ac:dyDescent="0.15">
      <c r="P886" s="40"/>
      <c r="S886" s="41"/>
    </row>
    <row r="887" spans="16:19" ht="13" x14ac:dyDescent="0.15">
      <c r="P887" s="40"/>
      <c r="S887" s="41"/>
    </row>
    <row r="888" spans="16:19" ht="13" x14ac:dyDescent="0.15">
      <c r="P888" s="40"/>
      <c r="S888" s="41"/>
    </row>
    <row r="889" spans="16:19" ht="13" x14ac:dyDescent="0.15">
      <c r="P889" s="40"/>
      <c r="S889" s="41"/>
    </row>
    <row r="890" spans="16:19" ht="13" x14ac:dyDescent="0.15">
      <c r="P890" s="40"/>
      <c r="S890" s="41"/>
    </row>
    <row r="891" spans="16:19" ht="13" x14ac:dyDescent="0.15">
      <c r="P891" s="40"/>
      <c r="S891" s="41"/>
    </row>
    <row r="892" spans="16:19" ht="13" x14ac:dyDescent="0.15">
      <c r="P892" s="40"/>
      <c r="S892" s="41"/>
    </row>
    <row r="893" spans="16:19" ht="13" x14ac:dyDescent="0.15">
      <c r="P893" s="40"/>
      <c r="S893" s="41"/>
    </row>
    <row r="894" spans="16:19" ht="13" x14ac:dyDescent="0.15">
      <c r="P894" s="40"/>
      <c r="S894" s="41"/>
    </row>
    <row r="895" spans="16:19" ht="13" x14ac:dyDescent="0.15">
      <c r="P895" s="40"/>
      <c r="S895" s="41"/>
    </row>
    <row r="896" spans="16:19" ht="13" x14ac:dyDescent="0.15">
      <c r="P896" s="40"/>
      <c r="S896" s="41"/>
    </row>
    <row r="897" spans="16:19" ht="13" x14ac:dyDescent="0.15">
      <c r="P897" s="40"/>
      <c r="S897" s="41"/>
    </row>
    <row r="898" spans="16:19" ht="13" x14ac:dyDescent="0.15">
      <c r="P898" s="40"/>
      <c r="S898" s="41"/>
    </row>
    <row r="899" spans="16:19" ht="13" x14ac:dyDescent="0.15">
      <c r="P899" s="40"/>
      <c r="S899" s="41"/>
    </row>
    <row r="900" spans="16:19" ht="13" x14ac:dyDescent="0.15">
      <c r="P900" s="40"/>
      <c r="S900" s="41"/>
    </row>
    <row r="901" spans="16:19" ht="13" x14ac:dyDescent="0.15">
      <c r="P901" s="40"/>
      <c r="S901" s="41"/>
    </row>
    <row r="902" spans="16:19" ht="13" x14ac:dyDescent="0.15">
      <c r="P902" s="40"/>
      <c r="S902" s="41"/>
    </row>
    <row r="903" spans="16:19" ht="13" x14ac:dyDescent="0.15">
      <c r="P903" s="40"/>
      <c r="S903" s="41"/>
    </row>
    <row r="904" spans="16:19" ht="13" x14ac:dyDescent="0.15">
      <c r="P904" s="40"/>
      <c r="S904" s="41"/>
    </row>
    <row r="905" spans="16:19" ht="13" x14ac:dyDescent="0.15">
      <c r="P905" s="40"/>
      <c r="S905" s="41"/>
    </row>
    <row r="906" spans="16:19" ht="13" x14ac:dyDescent="0.15">
      <c r="P906" s="40"/>
      <c r="S906" s="41"/>
    </row>
    <row r="907" spans="16:19" ht="13" x14ac:dyDescent="0.15">
      <c r="P907" s="40"/>
      <c r="S907" s="41"/>
    </row>
    <row r="908" spans="16:19" ht="13" x14ac:dyDescent="0.15">
      <c r="P908" s="40"/>
      <c r="S908" s="41"/>
    </row>
    <row r="909" spans="16:19" ht="13" x14ac:dyDescent="0.15">
      <c r="P909" s="40"/>
      <c r="S909" s="41"/>
    </row>
    <row r="910" spans="16:19" ht="13" x14ac:dyDescent="0.15">
      <c r="P910" s="40"/>
      <c r="S910" s="41"/>
    </row>
    <row r="911" spans="16:19" ht="13" x14ac:dyDescent="0.15">
      <c r="P911" s="40"/>
      <c r="S911" s="41"/>
    </row>
    <row r="912" spans="16:19" ht="13" x14ac:dyDescent="0.15">
      <c r="P912" s="40"/>
      <c r="S912" s="41"/>
    </row>
    <row r="913" spans="16:19" ht="13" x14ac:dyDescent="0.15">
      <c r="P913" s="40"/>
      <c r="S913" s="41"/>
    </row>
    <row r="914" spans="16:19" ht="13" x14ac:dyDescent="0.15">
      <c r="P914" s="40"/>
      <c r="S914" s="41"/>
    </row>
    <row r="915" spans="16:19" ht="13" x14ac:dyDescent="0.15">
      <c r="P915" s="40"/>
      <c r="S915" s="41"/>
    </row>
    <row r="916" spans="16:19" ht="13" x14ac:dyDescent="0.15">
      <c r="P916" s="40"/>
      <c r="S916" s="41"/>
    </row>
    <row r="917" spans="16:19" ht="13" x14ac:dyDescent="0.15">
      <c r="P917" s="40"/>
      <c r="S917" s="41"/>
    </row>
    <row r="918" spans="16:19" ht="13" x14ac:dyDescent="0.15">
      <c r="P918" s="40"/>
      <c r="S918" s="41"/>
    </row>
    <row r="919" spans="16:19" ht="13" x14ac:dyDescent="0.15">
      <c r="P919" s="40"/>
      <c r="S919" s="41"/>
    </row>
    <row r="920" spans="16:19" ht="13" x14ac:dyDescent="0.15">
      <c r="P920" s="40"/>
      <c r="S920" s="41"/>
    </row>
    <row r="921" spans="16:19" ht="13" x14ac:dyDescent="0.15">
      <c r="P921" s="40"/>
      <c r="S921" s="41"/>
    </row>
    <row r="922" spans="16:19" ht="13" x14ac:dyDescent="0.15">
      <c r="P922" s="40"/>
      <c r="S922" s="41"/>
    </row>
    <row r="923" spans="16:19" ht="13" x14ac:dyDescent="0.15">
      <c r="P923" s="40"/>
      <c r="S923" s="41"/>
    </row>
    <row r="924" spans="16:19" ht="13" x14ac:dyDescent="0.15">
      <c r="P924" s="40"/>
      <c r="S924" s="41"/>
    </row>
    <row r="925" spans="16:19" ht="13" x14ac:dyDescent="0.15">
      <c r="P925" s="40"/>
      <c r="S925" s="41"/>
    </row>
    <row r="926" spans="16:19" ht="13" x14ac:dyDescent="0.15">
      <c r="P926" s="40"/>
      <c r="S926" s="41"/>
    </row>
    <row r="927" spans="16:19" ht="13" x14ac:dyDescent="0.15">
      <c r="P927" s="40"/>
      <c r="S927" s="41"/>
    </row>
    <row r="928" spans="16:19" ht="13" x14ac:dyDescent="0.15">
      <c r="P928" s="40"/>
      <c r="S928" s="41"/>
    </row>
    <row r="929" spans="16:19" ht="13" x14ac:dyDescent="0.15">
      <c r="P929" s="40"/>
      <c r="S929" s="41"/>
    </row>
    <row r="930" spans="16:19" ht="13" x14ac:dyDescent="0.15">
      <c r="P930" s="40"/>
      <c r="S930" s="41"/>
    </row>
    <row r="931" spans="16:19" ht="13" x14ac:dyDescent="0.15">
      <c r="P931" s="40"/>
      <c r="S931" s="41"/>
    </row>
    <row r="932" spans="16:19" ht="13" x14ac:dyDescent="0.15">
      <c r="P932" s="40"/>
      <c r="S932" s="41"/>
    </row>
    <row r="933" spans="16:19" ht="13" x14ac:dyDescent="0.15">
      <c r="P933" s="40"/>
      <c r="S933" s="41"/>
    </row>
    <row r="934" spans="16:19" ht="13" x14ac:dyDescent="0.15">
      <c r="P934" s="40"/>
      <c r="S934" s="41"/>
    </row>
    <row r="935" spans="16:19" ht="13" x14ac:dyDescent="0.15">
      <c r="P935" s="40"/>
      <c r="S935" s="41"/>
    </row>
    <row r="936" spans="16:19" ht="13" x14ac:dyDescent="0.15">
      <c r="P936" s="40"/>
      <c r="S936" s="41"/>
    </row>
    <row r="937" spans="16:19" ht="13" x14ac:dyDescent="0.15">
      <c r="P937" s="40"/>
      <c r="S937" s="41"/>
    </row>
    <row r="938" spans="16:19" ht="13" x14ac:dyDescent="0.15">
      <c r="P938" s="40"/>
      <c r="S938" s="41"/>
    </row>
    <row r="939" spans="16:19" ht="13" x14ac:dyDescent="0.15">
      <c r="P939" s="40"/>
      <c r="S939" s="41"/>
    </row>
    <row r="940" spans="16:19" ht="13" x14ac:dyDescent="0.15">
      <c r="P940" s="40"/>
      <c r="S940" s="41"/>
    </row>
    <row r="941" spans="16:19" ht="13" x14ac:dyDescent="0.15">
      <c r="P941" s="40"/>
      <c r="S941" s="41"/>
    </row>
    <row r="942" spans="16:19" ht="13" x14ac:dyDescent="0.15">
      <c r="P942" s="40"/>
      <c r="S942" s="41"/>
    </row>
    <row r="943" spans="16:19" ht="13" x14ac:dyDescent="0.15">
      <c r="P943" s="40"/>
      <c r="S943" s="41"/>
    </row>
    <row r="944" spans="16:19" ht="13" x14ac:dyDescent="0.15">
      <c r="P944" s="40"/>
      <c r="S944" s="41"/>
    </row>
    <row r="945" spans="16:19" ht="13" x14ac:dyDescent="0.15">
      <c r="P945" s="40"/>
      <c r="S945" s="41"/>
    </row>
    <row r="946" spans="16:19" ht="13" x14ac:dyDescent="0.15">
      <c r="P946" s="40"/>
      <c r="S946" s="41"/>
    </row>
    <row r="947" spans="16:19" ht="13" x14ac:dyDescent="0.15">
      <c r="P947" s="40"/>
      <c r="S947" s="41"/>
    </row>
    <row r="948" spans="16:19" ht="13" x14ac:dyDescent="0.15">
      <c r="P948" s="40"/>
      <c r="S948" s="41"/>
    </row>
    <row r="949" spans="16:19" ht="13" x14ac:dyDescent="0.15">
      <c r="P949" s="40"/>
      <c r="S949" s="41"/>
    </row>
    <row r="950" spans="16:19" ht="13" x14ac:dyDescent="0.15">
      <c r="P950" s="40"/>
      <c r="S950" s="41"/>
    </row>
    <row r="951" spans="16:19" ht="13" x14ac:dyDescent="0.15">
      <c r="P951" s="40"/>
      <c r="S951" s="41"/>
    </row>
    <row r="952" spans="16:19" ht="13" x14ac:dyDescent="0.15">
      <c r="P952" s="40"/>
      <c r="S952" s="41"/>
    </row>
    <row r="953" spans="16:19" ht="13" x14ac:dyDescent="0.15">
      <c r="P953" s="40"/>
      <c r="S953" s="41"/>
    </row>
    <row r="954" spans="16:19" ht="13" x14ac:dyDescent="0.15">
      <c r="P954" s="40"/>
      <c r="S954" s="41"/>
    </row>
    <row r="955" spans="16:19" ht="13" x14ac:dyDescent="0.15">
      <c r="P955" s="40"/>
      <c r="S955" s="41"/>
    </row>
    <row r="956" spans="16:19" ht="13" x14ac:dyDescent="0.15">
      <c r="P956" s="40"/>
      <c r="S956" s="41"/>
    </row>
    <row r="957" spans="16:19" ht="13" x14ac:dyDescent="0.15">
      <c r="P957" s="40"/>
      <c r="S957" s="41"/>
    </row>
    <row r="958" spans="16:19" ht="13" x14ac:dyDescent="0.15">
      <c r="P958" s="40"/>
      <c r="S958" s="41"/>
    </row>
    <row r="959" spans="16:19" ht="13" x14ac:dyDescent="0.15">
      <c r="P959" s="40"/>
      <c r="S959" s="41"/>
    </row>
    <row r="960" spans="16:19" ht="13" x14ac:dyDescent="0.15">
      <c r="P960" s="40"/>
      <c r="S960" s="41"/>
    </row>
    <row r="961" spans="16:19" ht="13" x14ac:dyDescent="0.15">
      <c r="P961" s="40"/>
      <c r="S961" s="41"/>
    </row>
    <row r="962" spans="16:19" ht="13" x14ac:dyDescent="0.15">
      <c r="P962" s="40"/>
      <c r="S962" s="41"/>
    </row>
    <row r="963" spans="16:19" ht="13" x14ac:dyDescent="0.15">
      <c r="P963" s="40"/>
      <c r="S963" s="41"/>
    </row>
    <row r="964" spans="16:19" ht="13" x14ac:dyDescent="0.15">
      <c r="P964" s="40"/>
      <c r="S964" s="41"/>
    </row>
    <row r="965" spans="16:19" ht="13" x14ac:dyDescent="0.15">
      <c r="P965" s="40"/>
      <c r="S965" s="41"/>
    </row>
    <row r="966" spans="16:19" ht="13" x14ac:dyDescent="0.15">
      <c r="P966" s="40"/>
      <c r="S966" s="41"/>
    </row>
    <row r="967" spans="16:19" ht="13" x14ac:dyDescent="0.15">
      <c r="P967" s="40"/>
      <c r="S967" s="41"/>
    </row>
    <row r="968" spans="16:19" ht="13" x14ac:dyDescent="0.15">
      <c r="P968" s="40"/>
      <c r="S968" s="41"/>
    </row>
    <row r="969" spans="16:19" ht="13" x14ac:dyDescent="0.15">
      <c r="P969" s="40"/>
      <c r="S969" s="41"/>
    </row>
    <row r="970" spans="16:19" ht="13" x14ac:dyDescent="0.15">
      <c r="P970" s="40"/>
      <c r="S970" s="41"/>
    </row>
    <row r="971" spans="16:19" ht="13" x14ac:dyDescent="0.15">
      <c r="P971" s="40"/>
      <c r="S971" s="41"/>
    </row>
    <row r="972" spans="16:19" ht="13" x14ac:dyDescent="0.15">
      <c r="P972" s="40"/>
      <c r="S972" s="41"/>
    </row>
    <row r="973" spans="16:19" ht="13" x14ac:dyDescent="0.15">
      <c r="P973" s="40"/>
      <c r="S973" s="41"/>
    </row>
    <row r="974" spans="16:19" ht="13" x14ac:dyDescent="0.15">
      <c r="P974" s="40"/>
      <c r="S974" s="41"/>
    </row>
    <row r="975" spans="16:19" ht="13" x14ac:dyDescent="0.15">
      <c r="P975" s="40"/>
      <c r="S975" s="41"/>
    </row>
    <row r="976" spans="16:19" ht="13" x14ac:dyDescent="0.15">
      <c r="P976" s="40"/>
      <c r="S976" s="41"/>
    </row>
    <row r="977" spans="16:19" ht="13" x14ac:dyDescent="0.15">
      <c r="P977" s="40"/>
      <c r="S977" s="41"/>
    </row>
    <row r="978" spans="16:19" ht="13" x14ac:dyDescent="0.15">
      <c r="P978" s="40"/>
      <c r="S978" s="41"/>
    </row>
    <row r="979" spans="16:19" ht="13" x14ac:dyDescent="0.15">
      <c r="P979" s="40"/>
      <c r="S979" s="41"/>
    </row>
    <row r="980" spans="16:19" ht="13" x14ac:dyDescent="0.15">
      <c r="P980" s="40"/>
      <c r="S980" s="41"/>
    </row>
    <row r="981" spans="16:19" ht="13" x14ac:dyDescent="0.15">
      <c r="P981" s="40"/>
      <c r="S981" s="41"/>
    </row>
    <row r="982" spans="16:19" ht="13" x14ac:dyDescent="0.15">
      <c r="P982" s="40"/>
      <c r="S982" s="41"/>
    </row>
    <row r="983" spans="16:19" ht="13" x14ac:dyDescent="0.15">
      <c r="P983" s="40"/>
      <c r="S983" s="41"/>
    </row>
    <row r="984" spans="16:19" ht="13" x14ac:dyDescent="0.15">
      <c r="P984" s="40"/>
      <c r="S984" s="41"/>
    </row>
    <row r="985" spans="16:19" ht="13" x14ac:dyDescent="0.15">
      <c r="P985" s="40"/>
      <c r="S985" s="41"/>
    </row>
    <row r="986" spans="16:19" ht="13" x14ac:dyDescent="0.15">
      <c r="P986" s="40"/>
      <c r="S986" s="41"/>
    </row>
    <row r="987" spans="16:19" ht="13" x14ac:dyDescent="0.15">
      <c r="P987" s="40"/>
      <c r="S987" s="41"/>
    </row>
    <row r="988" spans="16:19" ht="13" x14ac:dyDescent="0.15">
      <c r="P988" s="40"/>
      <c r="S988" s="41"/>
    </row>
    <row r="989" spans="16:19" ht="13" x14ac:dyDescent="0.15">
      <c r="P989" s="40"/>
      <c r="S989" s="41"/>
    </row>
    <row r="990" spans="16:19" ht="13" x14ac:dyDescent="0.15">
      <c r="P990" s="40"/>
      <c r="S990" s="41"/>
    </row>
    <row r="991" spans="16:19" ht="13" x14ac:dyDescent="0.15">
      <c r="P991" s="40"/>
      <c r="S991" s="41"/>
    </row>
    <row r="992" spans="16:19" ht="13" x14ac:dyDescent="0.15">
      <c r="P992" s="40"/>
      <c r="S992" s="41"/>
    </row>
    <row r="993" spans="16:19" ht="13" x14ac:dyDescent="0.15">
      <c r="P993" s="40"/>
      <c r="S993" s="41"/>
    </row>
    <row r="994" spans="16:19" ht="13" x14ac:dyDescent="0.15">
      <c r="P994" s="40"/>
      <c r="S994" s="41"/>
    </row>
    <row r="995" spans="16:19" ht="13" x14ac:dyDescent="0.15">
      <c r="P995" s="40"/>
      <c r="S995" s="41"/>
    </row>
    <row r="996" spans="16:19" ht="13" x14ac:dyDescent="0.15">
      <c r="P996" s="40"/>
      <c r="S996" s="41"/>
    </row>
    <row r="997" spans="16:19" ht="13" x14ac:dyDescent="0.15">
      <c r="P997" s="40"/>
      <c r="S997" s="41"/>
    </row>
    <row r="998" spans="16:19" ht="13" x14ac:dyDescent="0.15">
      <c r="P998" s="40"/>
      <c r="S998" s="41"/>
    </row>
    <row r="999" spans="16:19" ht="13" x14ac:dyDescent="0.15">
      <c r="P999" s="40"/>
      <c r="S999" s="41"/>
    </row>
    <row r="1000" spans="16:19" ht="13" x14ac:dyDescent="0.15">
      <c r="P1000" s="40"/>
      <c r="S1000" s="41"/>
    </row>
    <row r="1001" spans="16:19" ht="13" x14ac:dyDescent="0.15">
      <c r="P1001" s="40"/>
      <c r="S1001" s="41"/>
    </row>
    <row r="1002" spans="16:19" ht="13" x14ac:dyDescent="0.15">
      <c r="P1002" s="40"/>
      <c r="S1002" s="41"/>
    </row>
    <row r="1003" spans="16:19" ht="13" x14ac:dyDescent="0.15">
      <c r="P1003" s="40"/>
      <c r="S1003" s="41"/>
    </row>
    <row r="1004" spans="16:19" ht="13" x14ac:dyDescent="0.15">
      <c r="P1004" s="40"/>
      <c r="S1004" s="41"/>
    </row>
    <row r="1005" spans="16:19" ht="13" x14ac:dyDescent="0.15">
      <c r="P1005" s="40"/>
      <c r="S1005" s="41"/>
    </row>
    <row r="1006" spans="16:19" ht="13" x14ac:dyDescent="0.15">
      <c r="P1006" s="40"/>
      <c r="S1006" s="41"/>
    </row>
    <row r="1007" spans="16:19" ht="13" x14ac:dyDescent="0.15">
      <c r="P1007" s="40"/>
      <c r="S1007" s="41"/>
    </row>
    <row r="1008" spans="16:19" ht="13" x14ac:dyDescent="0.15">
      <c r="P1008" s="40"/>
      <c r="S1008" s="41"/>
    </row>
    <row r="1009" spans="16:19" ht="13" x14ac:dyDescent="0.15">
      <c r="P1009" s="40"/>
      <c r="S1009" s="41"/>
    </row>
    <row r="1010" spans="16:19" ht="13" x14ac:dyDescent="0.15">
      <c r="P1010" s="40"/>
      <c r="S1010" s="41"/>
    </row>
    <row r="1011" spans="16:19" ht="13" x14ac:dyDescent="0.15">
      <c r="P1011" s="40"/>
      <c r="S1011" s="41"/>
    </row>
    <row r="1012" spans="16:19" ht="13" x14ac:dyDescent="0.15">
      <c r="P1012" s="40"/>
      <c r="S1012" s="41"/>
    </row>
    <row r="1013" spans="16:19" ht="13" x14ac:dyDescent="0.15">
      <c r="P1013" s="40"/>
      <c r="S1013" s="41"/>
    </row>
    <row r="1014" spans="16:19" ht="13" x14ac:dyDescent="0.15">
      <c r="P1014" s="40"/>
      <c r="S1014" s="41"/>
    </row>
    <row r="1015" spans="16:19" ht="13" x14ac:dyDescent="0.15">
      <c r="P1015" s="40"/>
      <c r="S1015" s="41"/>
    </row>
    <row r="1016" spans="16:19" ht="13" x14ac:dyDescent="0.15">
      <c r="P1016" s="40"/>
      <c r="S1016" s="41"/>
    </row>
    <row r="1017" spans="16:19" ht="13" x14ac:dyDescent="0.15">
      <c r="P1017" s="40"/>
      <c r="S1017" s="41"/>
    </row>
    <row r="1018" spans="16:19" ht="13" x14ac:dyDescent="0.15">
      <c r="P1018" s="40"/>
      <c r="S1018" s="41"/>
    </row>
    <row r="1019" spans="16:19" ht="13" x14ac:dyDescent="0.15">
      <c r="P1019" s="40"/>
      <c r="S1019" s="41"/>
    </row>
    <row r="1020" spans="16:19" ht="13" x14ac:dyDescent="0.15">
      <c r="P1020" s="40"/>
      <c r="S1020" s="41"/>
    </row>
    <row r="1021" spans="16:19" ht="13" x14ac:dyDescent="0.15">
      <c r="P1021" s="40"/>
      <c r="S1021" s="41"/>
    </row>
    <row r="1022" spans="16:19" ht="13" x14ac:dyDescent="0.15">
      <c r="P1022" s="40"/>
      <c r="S1022" s="41"/>
    </row>
    <row r="1023" spans="16:19" ht="13" x14ac:dyDescent="0.15">
      <c r="P1023" s="40"/>
      <c r="S1023" s="41"/>
    </row>
    <row r="1024" spans="16:19" ht="13" x14ac:dyDescent="0.15">
      <c r="P1024" s="40"/>
      <c r="S1024" s="41"/>
    </row>
    <row r="1025" spans="16:19" ht="13" x14ac:dyDescent="0.15">
      <c r="P1025" s="40"/>
      <c r="S1025" s="41"/>
    </row>
    <row r="1026" spans="16:19" ht="13" x14ac:dyDescent="0.15">
      <c r="P1026" s="40"/>
      <c r="S1026" s="41"/>
    </row>
    <row r="1027" spans="16:19" ht="13" x14ac:dyDescent="0.15">
      <c r="P1027" s="40"/>
      <c r="S1027" s="41"/>
    </row>
    <row r="1028" spans="16:19" ht="13" x14ac:dyDescent="0.15">
      <c r="P1028" s="40"/>
      <c r="S1028" s="41"/>
    </row>
    <row r="1029" spans="16:19" ht="13" x14ac:dyDescent="0.15">
      <c r="P1029" s="40"/>
      <c r="S1029" s="41"/>
    </row>
    <row r="1030" spans="16:19" ht="13" x14ac:dyDescent="0.15">
      <c r="P1030" s="40"/>
      <c r="S1030" s="41"/>
    </row>
    <row r="1031" spans="16:19" ht="13" x14ac:dyDescent="0.15">
      <c r="P1031" s="40"/>
      <c r="S1031" s="41"/>
    </row>
    <row r="1032" spans="16:19" ht="13" x14ac:dyDescent="0.15">
      <c r="P1032" s="40"/>
      <c r="S1032" s="41"/>
    </row>
    <row r="1033" spans="16:19" ht="13" x14ac:dyDescent="0.15">
      <c r="P1033" s="40"/>
      <c r="S1033" s="41"/>
    </row>
    <row r="1034" spans="16:19" ht="13" x14ac:dyDescent="0.15">
      <c r="P1034" s="40"/>
      <c r="S1034" s="41"/>
    </row>
    <row r="1035" spans="16:19" ht="13" x14ac:dyDescent="0.15">
      <c r="P1035" s="40"/>
      <c r="S1035" s="41"/>
    </row>
    <row r="1036" spans="16:19" ht="13" x14ac:dyDescent="0.15">
      <c r="P1036" s="40"/>
      <c r="S1036" s="41"/>
    </row>
  </sheetData>
  <mergeCells count="4">
    <mergeCell ref="H1:U1"/>
    <mergeCell ref="H2:I2"/>
    <mergeCell ref="J2:L2"/>
    <mergeCell ref="M2:U2"/>
  </mergeCells>
  <conditionalFormatting sqref="H4:M17 N4:U40 H19:M40 H59:U75">
    <cfRule type="notContainsBlanks" dxfId="1" priority="1">
      <formula>LEN(TRIM(H4))&gt;0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P996"/>
  <sheetViews>
    <sheetView workbookViewId="0">
      <pane xSplit="7" ySplit="3" topLeftCell="H4" activePane="bottomRight" state="frozen"/>
      <selection pane="topRight" activeCell="H1" sqref="H1"/>
      <selection pane="bottomLeft" activeCell="A4" sqref="A4"/>
      <selection pane="bottomRight" activeCell="H4" sqref="H4"/>
    </sheetView>
  </sheetViews>
  <sheetFormatPr baseColWidth="10" defaultColWidth="12.6640625" defaultRowHeight="15.75" customHeight="1" x14ac:dyDescent="0.15"/>
  <cols>
    <col min="1" max="1" width="28.33203125" customWidth="1"/>
    <col min="2" max="5" width="28.1640625" customWidth="1"/>
    <col min="6" max="6" width="7.1640625" customWidth="1"/>
    <col min="7" max="7" width="6.6640625" customWidth="1"/>
    <col min="8" max="10" width="3.6640625" customWidth="1"/>
    <col min="11" max="11" width="10.83203125" customWidth="1"/>
    <col min="12" max="16" width="3.6640625" customWidth="1"/>
  </cols>
  <sheetData>
    <row r="1" spans="1:16" ht="15.75" customHeight="1" x14ac:dyDescent="0.15">
      <c r="F1" s="3" t="s">
        <v>10</v>
      </c>
      <c r="G1" s="3" t="s">
        <v>11</v>
      </c>
      <c r="H1" s="79" t="s">
        <v>9</v>
      </c>
      <c r="I1" s="80"/>
      <c r="J1" s="80"/>
      <c r="K1" s="80"/>
      <c r="L1" s="80"/>
      <c r="M1" s="80"/>
      <c r="N1" s="80"/>
      <c r="O1" s="80"/>
      <c r="P1" s="80"/>
    </row>
    <row r="2" spans="1:16" ht="15.75" customHeight="1" x14ac:dyDescent="0.15">
      <c r="A2" s="3"/>
      <c r="B2" s="3"/>
      <c r="C2" s="3"/>
      <c r="D2" s="3"/>
      <c r="E2" s="3"/>
      <c r="F2" s="3"/>
      <c r="G2" s="3"/>
      <c r="H2" s="81" t="s">
        <v>12</v>
      </c>
      <c r="I2" s="80"/>
      <c r="J2" s="80"/>
      <c r="K2" s="82" t="s">
        <v>13</v>
      </c>
      <c r="L2" s="80"/>
      <c r="M2" s="80"/>
      <c r="N2" s="84" t="s">
        <v>15</v>
      </c>
      <c r="O2" s="80"/>
      <c r="P2" s="80"/>
    </row>
    <row r="3" spans="1:16" ht="15.75" customHeight="1" x14ac:dyDescent="0.15">
      <c r="A3" s="3"/>
      <c r="B3" s="3"/>
      <c r="C3" s="3"/>
      <c r="D3" s="3"/>
      <c r="E3" s="3"/>
      <c r="F3" s="3"/>
      <c r="G3" s="3"/>
      <c r="H3" s="2">
        <f t="shared" ref="H3:I3" si="0">I3-1</f>
        <v>-2</v>
      </c>
      <c r="I3" s="2">
        <f t="shared" si="0"/>
        <v>-1</v>
      </c>
      <c r="J3" s="7">
        <v>0</v>
      </c>
      <c r="K3" s="4">
        <f t="shared" ref="K3:N3" si="1">J3+1</f>
        <v>1</v>
      </c>
      <c r="L3" s="4">
        <f t="shared" si="1"/>
        <v>2</v>
      </c>
      <c r="M3" s="8">
        <f t="shared" si="1"/>
        <v>3</v>
      </c>
      <c r="N3" s="6">
        <f t="shared" si="1"/>
        <v>4</v>
      </c>
      <c r="O3" s="6">
        <v>5</v>
      </c>
      <c r="P3" s="6">
        <v>6</v>
      </c>
    </row>
    <row r="4" spans="1:16" x14ac:dyDescent="0.2">
      <c r="A4" s="10" t="s">
        <v>16</v>
      </c>
      <c r="B4" s="11"/>
      <c r="C4" s="11"/>
      <c r="D4" s="11"/>
      <c r="E4" s="11"/>
      <c r="F4" s="12"/>
      <c r="G4" s="11"/>
      <c r="H4" s="52"/>
      <c r="I4" s="52"/>
      <c r="J4" s="52"/>
      <c r="K4" s="52"/>
      <c r="L4" s="52"/>
      <c r="M4" s="52"/>
      <c r="N4" s="52"/>
      <c r="O4" s="52"/>
      <c r="P4" s="52"/>
    </row>
    <row r="5" spans="1:16" ht="15.75" customHeight="1" x14ac:dyDescent="0.15">
      <c r="B5" s="3" t="s">
        <v>17</v>
      </c>
      <c r="C5" s="3"/>
      <c r="D5" s="3" t="s">
        <v>104</v>
      </c>
      <c r="E5" s="3"/>
      <c r="F5" s="3">
        <v>1</v>
      </c>
      <c r="H5" s="1"/>
      <c r="I5" s="1"/>
      <c r="J5" s="9">
        <v>1</v>
      </c>
      <c r="K5" s="1"/>
      <c r="L5" s="1"/>
      <c r="M5" s="9"/>
      <c r="N5" s="1"/>
      <c r="O5" s="1"/>
      <c r="P5" s="9"/>
    </row>
    <row r="6" spans="1:16" ht="15.75" customHeight="1" x14ac:dyDescent="0.15">
      <c r="B6" s="3" t="s">
        <v>18</v>
      </c>
      <c r="C6" s="3"/>
      <c r="D6" s="3" t="s">
        <v>104</v>
      </c>
      <c r="E6" s="3"/>
      <c r="F6" s="3">
        <v>2</v>
      </c>
      <c r="H6" s="1">
        <v>1</v>
      </c>
      <c r="I6" s="1">
        <v>1</v>
      </c>
      <c r="J6" s="9"/>
      <c r="K6" s="1"/>
      <c r="L6" s="1"/>
      <c r="M6" s="9"/>
      <c r="N6" s="1"/>
      <c r="O6" s="1"/>
      <c r="P6" s="9"/>
    </row>
    <row r="7" spans="1:16" x14ac:dyDescent="0.2">
      <c r="A7" s="10" t="s">
        <v>19</v>
      </c>
      <c r="B7" s="11"/>
      <c r="C7" s="11"/>
      <c r="D7" s="11"/>
      <c r="E7" s="11"/>
      <c r="F7" s="12"/>
      <c r="G7" s="11"/>
      <c r="H7" s="52"/>
      <c r="I7" s="52"/>
      <c r="J7" s="52"/>
      <c r="K7" s="52"/>
      <c r="L7" s="52"/>
      <c r="M7" s="52"/>
      <c r="N7" s="52"/>
      <c r="O7" s="52"/>
      <c r="P7" s="52"/>
    </row>
    <row r="8" spans="1:16" ht="15.75" customHeight="1" x14ac:dyDescent="0.15">
      <c r="A8" s="3"/>
      <c r="B8" s="3" t="s">
        <v>20</v>
      </c>
      <c r="C8" s="3"/>
      <c r="D8" s="3" t="s">
        <v>77</v>
      </c>
      <c r="E8" s="3"/>
      <c r="F8" s="3">
        <v>6</v>
      </c>
      <c r="H8" s="1"/>
      <c r="I8" s="1"/>
      <c r="J8" s="9"/>
      <c r="K8" s="1">
        <v>1</v>
      </c>
      <c r="L8" s="1">
        <v>1</v>
      </c>
      <c r="M8" s="9">
        <v>1</v>
      </c>
      <c r="N8" s="1"/>
      <c r="O8" s="1"/>
      <c r="P8" s="9"/>
    </row>
    <row r="9" spans="1:16" x14ac:dyDescent="0.2">
      <c r="A9" s="10" t="s">
        <v>22</v>
      </c>
      <c r="B9" s="11"/>
      <c r="C9" s="11"/>
      <c r="D9" s="11"/>
      <c r="E9" s="11"/>
      <c r="F9" s="12"/>
      <c r="G9" s="11"/>
      <c r="H9" s="52"/>
      <c r="I9" s="52"/>
      <c r="J9" s="52"/>
      <c r="K9" s="52"/>
      <c r="L9" s="52"/>
      <c r="M9" s="52"/>
      <c r="N9" s="52"/>
      <c r="O9" s="52"/>
      <c r="P9" s="52"/>
    </row>
    <row r="10" spans="1:16" ht="15.75" customHeight="1" x14ac:dyDescent="0.15">
      <c r="A10" s="3"/>
      <c r="B10" s="3" t="s">
        <v>23</v>
      </c>
      <c r="C10" s="27" t="s">
        <v>83</v>
      </c>
      <c r="D10" s="27" t="s">
        <v>77</v>
      </c>
      <c r="E10" s="3"/>
      <c r="F10" s="3">
        <v>2</v>
      </c>
      <c r="H10" s="1"/>
      <c r="I10" s="1"/>
      <c r="J10" s="9"/>
      <c r="K10" s="1"/>
      <c r="L10" s="1"/>
      <c r="M10" s="9"/>
      <c r="N10" s="1">
        <v>1</v>
      </c>
      <c r="O10" s="1"/>
      <c r="P10" s="9"/>
    </row>
    <row r="11" spans="1:16" ht="15.75" customHeight="1" x14ac:dyDescent="0.15">
      <c r="A11" s="3"/>
      <c r="B11" s="3" t="s">
        <v>24</v>
      </c>
      <c r="C11" s="27" t="s">
        <v>83</v>
      </c>
      <c r="D11" s="27" t="s">
        <v>77</v>
      </c>
      <c r="E11" s="3"/>
      <c r="F11" s="3">
        <v>1</v>
      </c>
      <c r="H11" s="1"/>
      <c r="I11" s="1"/>
      <c r="J11" s="9"/>
      <c r="K11" s="1"/>
      <c r="L11" s="1"/>
      <c r="M11" s="9"/>
      <c r="N11" s="1"/>
      <c r="O11" s="1">
        <v>1</v>
      </c>
      <c r="P11" s="9"/>
    </row>
    <row r="12" spans="1:16" ht="15.75" customHeight="1" x14ac:dyDescent="0.15">
      <c r="A12" s="3"/>
      <c r="B12" s="3" t="s">
        <v>25</v>
      </c>
      <c r="C12" s="27" t="s">
        <v>83</v>
      </c>
      <c r="D12" s="27" t="s">
        <v>77</v>
      </c>
      <c r="E12" s="3"/>
      <c r="F12" s="3">
        <v>1</v>
      </c>
      <c r="H12" s="1"/>
      <c r="I12" s="1"/>
      <c r="J12" s="9"/>
      <c r="K12" s="1">
        <v>1</v>
      </c>
      <c r="L12" s="1"/>
      <c r="M12" s="9"/>
      <c r="N12" s="1"/>
      <c r="O12" s="1"/>
      <c r="P12" s="9"/>
    </row>
    <row r="13" spans="1:16" ht="15.75" customHeight="1" x14ac:dyDescent="0.15">
      <c r="A13" s="3"/>
      <c r="B13" s="3" t="s">
        <v>26</v>
      </c>
      <c r="C13" s="3"/>
      <c r="D13" s="3"/>
      <c r="E13" s="3"/>
      <c r="F13" s="3">
        <v>5</v>
      </c>
      <c r="H13" s="1"/>
      <c r="I13" s="1"/>
      <c r="J13" s="9"/>
      <c r="K13" s="1"/>
      <c r="L13" s="1">
        <v>1</v>
      </c>
      <c r="M13" s="9">
        <v>1</v>
      </c>
      <c r="N13" s="1">
        <v>1</v>
      </c>
      <c r="O13" s="1">
        <v>1</v>
      </c>
      <c r="P13" s="9">
        <v>1</v>
      </c>
    </row>
    <row r="14" spans="1:16" ht="15.75" customHeight="1" x14ac:dyDescent="0.15">
      <c r="A14" s="3"/>
      <c r="B14" s="3" t="s">
        <v>27</v>
      </c>
      <c r="C14" s="27" t="s">
        <v>83</v>
      </c>
      <c r="D14" s="27" t="s">
        <v>77</v>
      </c>
      <c r="E14" s="3"/>
      <c r="F14" s="3">
        <v>1</v>
      </c>
      <c r="H14" s="1"/>
      <c r="I14" s="1"/>
      <c r="J14" s="9"/>
      <c r="K14" s="1"/>
      <c r="L14" s="1"/>
      <c r="M14" s="9"/>
      <c r="N14" s="1"/>
      <c r="O14" s="1"/>
      <c r="P14" s="9">
        <v>1</v>
      </c>
    </row>
    <row r="15" spans="1:16" x14ac:dyDescent="0.2">
      <c r="A15" s="10" t="s">
        <v>52</v>
      </c>
      <c r="B15" s="11"/>
      <c r="C15" s="11"/>
      <c r="D15" s="11"/>
      <c r="E15" s="11"/>
      <c r="F15" s="12"/>
      <c r="G15" s="11"/>
      <c r="H15" s="52"/>
      <c r="I15" s="52"/>
      <c r="J15" s="52"/>
      <c r="K15" s="52"/>
      <c r="L15" s="52"/>
      <c r="M15" s="52"/>
      <c r="N15" s="52"/>
      <c r="O15" s="52"/>
      <c r="P15" s="52"/>
    </row>
    <row r="16" spans="1:16" ht="15.75" customHeight="1" x14ac:dyDescent="0.15">
      <c r="B16" s="3" t="s">
        <v>53</v>
      </c>
      <c r="C16" s="3"/>
      <c r="D16" s="1" t="s">
        <v>85</v>
      </c>
      <c r="E16" s="3"/>
      <c r="H16" s="1"/>
      <c r="I16" s="1"/>
      <c r="J16" s="9"/>
      <c r="K16" s="1"/>
      <c r="L16" s="1"/>
      <c r="M16" s="9">
        <v>1</v>
      </c>
      <c r="N16" s="1"/>
      <c r="O16" s="1"/>
      <c r="P16" s="9"/>
    </row>
    <row r="17" spans="1:16" ht="15.75" customHeight="1" x14ac:dyDescent="0.15">
      <c r="B17" s="3" t="s">
        <v>54</v>
      </c>
      <c r="C17" s="3"/>
      <c r="D17" s="1" t="s">
        <v>85</v>
      </c>
      <c r="E17" s="3"/>
      <c r="H17" s="1"/>
      <c r="I17" s="1"/>
      <c r="J17" s="9"/>
      <c r="K17" s="1"/>
      <c r="L17" s="1"/>
      <c r="M17" s="9"/>
      <c r="N17" s="1"/>
      <c r="O17" s="1"/>
      <c r="P17" s="9">
        <v>1</v>
      </c>
    </row>
    <row r="18" spans="1:16" ht="15.75" customHeight="1" x14ac:dyDescent="0.15">
      <c r="B18" s="3" t="s">
        <v>55</v>
      </c>
      <c r="C18" s="3"/>
      <c r="D18" s="1" t="s">
        <v>85</v>
      </c>
      <c r="E18" s="3"/>
      <c r="H18" s="1"/>
      <c r="I18" s="1"/>
      <c r="J18" s="9"/>
      <c r="K18" s="1"/>
      <c r="L18" s="1"/>
      <c r="M18" s="9"/>
      <c r="N18" s="1"/>
      <c r="O18" s="1"/>
      <c r="P18" s="9">
        <v>1</v>
      </c>
    </row>
    <row r="19" spans="1:16" ht="15.75" customHeight="1" x14ac:dyDescent="0.15">
      <c r="B19" s="3" t="s">
        <v>56</v>
      </c>
      <c r="C19" s="3"/>
      <c r="D19" s="1" t="s">
        <v>85</v>
      </c>
      <c r="E19" s="3"/>
      <c r="H19" s="1"/>
      <c r="I19" s="1"/>
      <c r="J19" s="9"/>
      <c r="K19" s="1"/>
      <c r="L19" s="1"/>
      <c r="M19" s="9"/>
      <c r="N19" s="1"/>
      <c r="O19" s="1"/>
      <c r="P19" s="9"/>
    </row>
    <row r="20" spans="1:16" ht="15.75" customHeight="1" x14ac:dyDescent="0.15">
      <c r="H20" s="1"/>
      <c r="I20" s="1"/>
      <c r="J20" s="9"/>
      <c r="K20" s="1"/>
      <c r="L20" s="1"/>
      <c r="M20" s="9"/>
      <c r="N20" s="1"/>
      <c r="O20" s="1"/>
      <c r="P20" s="9"/>
    </row>
    <row r="21" spans="1:16" x14ac:dyDescent="0.2">
      <c r="A21" s="10" t="s">
        <v>11</v>
      </c>
      <c r="B21" s="11"/>
      <c r="C21" s="11"/>
      <c r="D21" s="11"/>
      <c r="E21" s="11"/>
      <c r="F21" s="12"/>
      <c r="G21" s="11"/>
      <c r="H21" s="52"/>
      <c r="I21" s="52"/>
      <c r="J21" s="52"/>
      <c r="K21" s="42">
        <f t="shared" ref="K21:P21" si="2">SUMPRODUCT($G$22:$G$36,K22:K36)</f>
        <v>2.2723968000000001</v>
      </c>
      <c r="L21" s="42">
        <f t="shared" si="2"/>
        <v>0</v>
      </c>
      <c r="M21" s="42">
        <f t="shared" si="2"/>
        <v>0</v>
      </c>
      <c r="N21" s="42">
        <f t="shared" si="2"/>
        <v>0</v>
      </c>
      <c r="O21" s="42">
        <f t="shared" si="2"/>
        <v>0</v>
      </c>
      <c r="P21" s="42">
        <f t="shared" si="2"/>
        <v>0.23915520000000001</v>
      </c>
    </row>
    <row r="22" spans="1:16" x14ac:dyDescent="0.2">
      <c r="A22" s="13"/>
      <c r="B22" s="14" t="s">
        <v>63</v>
      </c>
      <c r="C22" s="53">
        <f>1782960+178000+32000</f>
        <v>1992960</v>
      </c>
      <c r="D22" s="13"/>
      <c r="E22" s="13"/>
      <c r="F22" s="16"/>
      <c r="G22" s="17">
        <f t="shared" ref="G22:G23" si="3">C22*(1+$C$24)/1000000</f>
        <v>2.3915519999999999</v>
      </c>
      <c r="H22" s="1"/>
      <c r="I22" s="1"/>
      <c r="J22" s="9"/>
      <c r="K22" s="54">
        <v>0.9</v>
      </c>
      <c r="L22" s="1"/>
      <c r="M22" s="9"/>
      <c r="N22" s="1"/>
      <c r="O22" s="1"/>
      <c r="P22" s="55">
        <v>0.1</v>
      </c>
    </row>
    <row r="23" spans="1:16" ht="15.75" customHeight="1" x14ac:dyDescent="0.15">
      <c r="B23" s="14" t="s">
        <v>23</v>
      </c>
      <c r="C23" s="15">
        <v>100000</v>
      </c>
      <c r="G23" s="17">
        <f t="shared" si="3"/>
        <v>0.12</v>
      </c>
      <c r="H23" s="1"/>
      <c r="I23" s="1"/>
      <c r="J23" s="9"/>
      <c r="K23" s="55">
        <v>1</v>
      </c>
      <c r="L23" s="1"/>
      <c r="N23" s="1"/>
      <c r="O23" s="1"/>
      <c r="P23" s="9"/>
    </row>
    <row r="24" spans="1:16" x14ac:dyDescent="0.2">
      <c r="B24" s="20" t="s">
        <v>105</v>
      </c>
      <c r="C24" s="21">
        <v>0.2</v>
      </c>
      <c r="D24" s="13"/>
      <c r="E24" s="13"/>
      <c r="F24" s="13"/>
      <c r="G24" s="22"/>
      <c r="H24" s="1"/>
      <c r="I24" s="1"/>
      <c r="J24" s="9"/>
      <c r="K24" s="1"/>
      <c r="L24" s="1"/>
      <c r="M24" s="9"/>
      <c r="N24" s="1"/>
      <c r="O24" s="1"/>
      <c r="P24" s="9"/>
    </row>
    <row r="25" spans="1:16" x14ac:dyDescent="0.2">
      <c r="B25" s="20" t="s">
        <v>1</v>
      </c>
      <c r="C25" s="22"/>
      <c r="D25" s="22"/>
      <c r="E25" s="22"/>
      <c r="F25" s="22"/>
      <c r="G25" s="17">
        <f>SUM(G13:G23)</f>
        <v>2.511552</v>
      </c>
      <c r="H25" s="1"/>
      <c r="I25" s="1"/>
      <c r="J25" s="9"/>
      <c r="K25" s="1"/>
      <c r="L25" s="1"/>
      <c r="M25" s="9"/>
      <c r="N25" s="1"/>
      <c r="O25" s="1"/>
      <c r="P25" s="9"/>
    </row>
    <row r="26" spans="1:16" x14ac:dyDescent="0.2">
      <c r="B26" s="20" t="s">
        <v>74</v>
      </c>
      <c r="C26" s="13"/>
      <c r="D26" s="13"/>
      <c r="E26" s="13"/>
      <c r="F26" s="13"/>
      <c r="G26" s="17">
        <f>G25/4</f>
        <v>0.627888</v>
      </c>
      <c r="H26" s="1"/>
      <c r="I26" s="1"/>
      <c r="J26" s="9"/>
      <c r="K26" s="1"/>
      <c r="L26" s="1"/>
      <c r="M26" s="9"/>
      <c r="N26" s="1"/>
      <c r="O26" s="1"/>
      <c r="P26" s="9"/>
    </row>
    <row r="27" spans="1:16" ht="15.75" customHeight="1" x14ac:dyDescent="0.15">
      <c r="H27" s="1"/>
      <c r="I27" s="1"/>
      <c r="J27" s="9"/>
      <c r="K27" s="1"/>
      <c r="L27" s="1"/>
      <c r="M27" s="9"/>
      <c r="N27" s="1"/>
      <c r="O27" s="1"/>
      <c r="P27" s="9"/>
    </row>
    <row r="28" spans="1:16" ht="15.75" customHeight="1" x14ac:dyDescent="0.15">
      <c r="H28" s="1"/>
      <c r="I28" s="1"/>
      <c r="J28" s="9"/>
      <c r="K28" s="1"/>
      <c r="L28" s="1"/>
      <c r="M28" s="9"/>
      <c r="N28" s="1"/>
      <c r="O28" s="1"/>
      <c r="P28" s="9"/>
    </row>
    <row r="29" spans="1:16" ht="15.75" customHeight="1" x14ac:dyDescent="0.15">
      <c r="H29" s="1"/>
      <c r="I29" s="1"/>
      <c r="J29" s="9"/>
      <c r="K29" s="1"/>
      <c r="L29" s="1"/>
      <c r="M29" s="9"/>
      <c r="N29" s="1"/>
      <c r="O29" s="1"/>
      <c r="P29" s="9"/>
    </row>
    <row r="30" spans="1:16" ht="15.75" customHeight="1" x14ac:dyDescent="0.15">
      <c r="H30" s="1"/>
      <c r="I30" s="1"/>
      <c r="J30" s="9"/>
      <c r="K30" s="1"/>
      <c r="L30" s="1"/>
      <c r="M30" s="9"/>
      <c r="N30" s="1"/>
      <c r="O30" s="1"/>
      <c r="P30" s="9"/>
    </row>
    <row r="31" spans="1:16" ht="15.75" customHeight="1" x14ac:dyDescent="0.15">
      <c r="H31" s="1"/>
      <c r="I31" s="1"/>
      <c r="J31" s="9"/>
      <c r="K31" s="1"/>
      <c r="L31" s="1"/>
      <c r="M31" s="9"/>
      <c r="N31" s="1"/>
      <c r="O31" s="1"/>
      <c r="P31" s="9"/>
    </row>
    <row r="32" spans="1:16" ht="15.75" customHeight="1" x14ac:dyDescent="0.15">
      <c r="H32" s="1"/>
      <c r="I32" s="1"/>
      <c r="J32" s="9"/>
      <c r="K32" s="1"/>
      <c r="L32" s="1"/>
      <c r="M32" s="9"/>
      <c r="N32" s="1"/>
      <c r="O32" s="1"/>
      <c r="P32" s="9"/>
    </row>
    <row r="33" spans="8:16" ht="15.75" customHeight="1" x14ac:dyDescent="0.15">
      <c r="H33" s="1"/>
      <c r="I33" s="1"/>
      <c r="J33" s="9"/>
      <c r="K33" s="1"/>
      <c r="L33" s="1"/>
      <c r="M33" s="9"/>
      <c r="N33" s="1"/>
      <c r="O33" s="1"/>
      <c r="P33" s="9"/>
    </row>
    <row r="34" spans="8:16" ht="15.75" customHeight="1" x14ac:dyDescent="0.15">
      <c r="H34" s="1"/>
      <c r="I34" s="1"/>
      <c r="J34" s="9"/>
      <c r="K34" s="1"/>
      <c r="L34" s="1"/>
      <c r="M34" s="9"/>
      <c r="N34" s="1"/>
      <c r="O34" s="1"/>
      <c r="P34" s="9"/>
    </row>
    <row r="35" spans="8:16" ht="15.75" customHeight="1" x14ac:dyDescent="0.15">
      <c r="H35" s="1"/>
      <c r="I35" s="1"/>
      <c r="J35" s="9"/>
      <c r="K35" s="1"/>
      <c r="L35" s="1"/>
      <c r="M35" s="9"/>
      <c r="N35" s="1"/>
      <c r="O35" s="1"/>
      <c r="P35" s="9"/>
    </row>
    <row r="36" spans="8:16" ht="15.75" customHeight="1" x14ac:dyDescent="0.15">
      <c r="H36" s="1"/>
      <c r="I36" s="1"/>
      <c r="J36" s="9"/>
      <c r="K36" s="1"/>
      <c r="L36" s="1"/>
      <c r="M36" s="9"/>
      <c r="N36" s="1"/>
      <c r="O36" s="1"/>
      <c r="P36" s="9"/>
    </row>
    <row r="37" spans="8:16" ht="15.75" customHeight="1" x14ac:dyDescent="0.15">
      <c r="H37" s="1"/>
      <c r="I37" s="1"/>
      <c r="J37" s="9"/>
      <c r="K37" s="1"/>
      <c r="L37" s="1"/>
      <c r="M37" s="9"/>
      <c r="N37" s="1"/>
      <c r="O37" s="1"/>
      <c r="P37" s="9"/>
    </row>
    <row r="38" spans="8:16" ht="15.75" customHeight="1" x14ac:dyDescent="0.15">
      <c r="H38" s="1"/>
      <c r="I38" s="1"/>
      <c r="J38" s="9"/>
      <c r="K38" s="1"/>
      <c r="L38" s="1"/>
      <c r="M38" s="9"/>
      <c r="N38" s="1"/>
      <c r="O38" s="1"/>
      <c r="P38" s="9"/>
    </row>
    <row r="39" spans="8:16" ht="15.75" customHeight="1" x14ac:dyDescent="0.15">
      <c r="H39" s="1"/>
      <c r="I39" s="1"/>
      <c r="J39" s="9"/>
      <c r="K39" s="1"/>
      <c r="L39" s="1"/>
      <c r="M39" s="9"/>
      <c r="N39" s="1"/>
      <c r="O39" s="1"/>
      <c r="P39" s="9"/>
    </row>
    <row r="40" spans="8:16" ht="15.75" customHeight="1" x14ac:dyDescent="0.15">
      <c r="H40" s="1"/>
      <c r="I40" s="1"/>
      <c r="J40" s="9"/>
      <c r="K40" s="1"/>
      <c r="L40" s="1"/>
      <c r="M40" s="9"/>
      <c r="N40" s="1"/>
      <c r="O40" s="1"/>
      <c r="P40" s="9"/>
    </row>
    <row r="41" spans="8:16" ht="15.75" customHeight="1" x14ac:dyDescent="0.15">
      <c r="H41" s="1"/>
      <c r="I41" s="1"/>
      <c r="J41" s="9"/>
      <c r="K41" s="1"/>
      <c r="L41" s="1"/>
      <c r="M41" s="9"/>
      <c r="N41" s="1"/>
      <c r="O41" s="1"/>
      <c r="P41" s="9"/>
    </row>
    <row r="42" spans="8:16" ht="15.75" customHeight="1" x14ac:dyDescent="0.15">
      <c r="H42" s="1"/>
      <c r="I42" s="1"/>
      <c r="J42" s="9"/>
      <c r="K42" s="1"/>
      <c r="L42" s="1"/>
      <c r="M42" s="9"/>
      <c r="N42" s="1"/>
      <c r="O42" s="1"/>
      <c r="P42" s="9"/>
    </row>
    <row r="43" spans="8:16" ht="15.75" customHeight="1" x14ac:dyDescent="0.15">
      <c r="H43" s="1"/>
      <c r="I43" s="1"/>
      <c r="J43" s="9"/>
      <c r="K43" s="1"/>
      <c r="L43" s="1"/>
      <c r="M43" s="9"/>
      <c r="N43" s="1"/>
      <c r="O43" s="1"/>
      <c r="P43" s="9"/>
    </row>
    <row r="44" spans="8:16" ht="15.75" customHeight="1" x14ac:dyDescent="0.15">
      <c r="H44" s="1"/>
      <c r="I44" s="1"/>
      <c r="J44" s="9"/>
      <c r="K44" s="1"/>
      <c r="L44" s="1"/>
      <c r="M44" s="9"/>
      <c r="N44" s="1"/>
      <c r="O44" s="1"/>
      <c r="P44" s="9"/>
    </row>
    <row r="45" spans="8:16" ht="15.75" customHeight="1" x14ac:dyDescent="0.15">
      <c r="H45" s="1"/>
      <c r="I45" s="1"/>
      <c r="J45" s="9"/>
      <c r="K45" s="1"/>
      <c r="L45" s="1"/>
      <c r="M45" s="9"/>
      <c r="N45" s="1"/>
      <c r="O45" s="1"/>
      <c r="P45" s="9"/>
    </row>
    <row r="46" spans="8:16" ht="15.75" customHeight="1" x14ac:dyDescent="0.15">
      <c r="H46" s="1"/>
      <c r="I46" s="1"/>
      <c r="J46" s="9"/>
      <c r="K46" s="1"/>
      <c r="L46" s="1"/>
      <c r="M46" s="9"/>
      <c r="N46" s="1"/>
      <c r="O46" s="1"/>
      <c r="P46" s="9"/>
    </row>
    <row r="47" spans="8:16" ht="15.75" customHeight="1" x14ac:dyDescent="0.15">
      <c r="H47" s="1"/>
      <c r="I47" s="1"/>
      <c r="J47" s="9"/>
      <c r="K47" s="1"/>
      <c r="L47" s="1"/>
      <c r="M47" s="9"/>
      <c r="N47" s="1"/>
      <c r="O47" s="1"/>
      <c r="P47" s="9"/>
    </row>
    <row r="48" spans="8:16" ht="15.75" customHeight="1" x14ac:dyDescent="0.15">
      <c r="H48" s="1"/>
      <c r="I48" s="1"/>
      <c r="J48" s="9"/>
      <c r="K48" s="1"/>
      <c r="L48" s="1"/>
      <c r="M48" s="9"/>
      <c r="N48" s="1"/>
      <c r="O48" s="1"/>
      <c r="P48" s="9"/>
    </row>
    <row r="49" spans="8:16" ht="15.75" customHeight="1" x14ac:dyDescent="0.15">
      <c r="H49" s="1"/>
      <c r="I49" s="1"/>
      <c r="J49" s="9"/>
      <c r="K49" s="1"/>
      <c r="L49" s="1"/>
      <c r="M49" s="9"/>
      <c r="N49" s="1"/>
      <c r="O49" s="1"/>
      <c r="P49" s="9"/>
    </row>
    <row r="50" spans="8:16" ht="15.75" customHeight="1" x14ac:dyDescent="0.15">
      <c r="H50" s="1"/>
      <c r="I50" s="1"/>
      <c r="J50" s="9"/>
      <c r="K50" s="1"/>
      <c r="L50" s="1"/>
      <c r="M50" s="9"/>
      <c r="N50" s="1"/>
      <c r="O50" s="1"/>
      <c r="P50" s="9"/>
    </row>
    <row r="51" spans="8:16" ht="15.75" customHeight="1" x14ac:dyDescent="0.15">
      <c r="H51" s="1"/>
      <c r="I51" s="1"/>
      <c r="J51" s="9"/>
      <c r="K51" s="1"/>
      <c r="L51" s="1"/>
      <c r="M51" s="9"/>
      <c r="N51" s="1"/>
      <c r="O51" s="1"/>
      <c r="P51" s="9"/>
    </row>
    <row r="52" spans="8:16" ht="15.75" customHeight="1" x14ac:dyDescent="0.15">
      <c r="H52" s="1"/>
      <c r="I52" s="1"/>
      <c r="J52" s="9"/>
      <c r="K52" s="1"/>
      <c r="L52" s="1"/>
      <c r="M52" s="9"/>
      <c r="N52" s="1"/>
      <c r="O52" s="1"/>
      <c r="P52" s="9"/>
    </row>
    <row r="53" spans="8:16" ht="15.75" customHeight="1" x14ac:dyDescent="0.15">
      <c r="H53" s="1"/>
      <c r="I53" s="1"/>
      <c r="J53" s="9"/>
      <c r="K53" s="1"/>
      <c r="L53" s="1"/>
      <c r="M53" s="9"/>
      <c r="N53" s="1"/>
      <c r="O53" s="1"/>
      <c r="P53" s="9"/>
    </row>
    <row r="54" spans="8:16" ht="15.75" customHeight="1" x14ac:dyDescent="0.15">
      <c r="H54" s="1"/>
      <c r="I54" s="1"/>
      <c r="J54" s="9"/>
      <c r="K54" s="1"/>
      <c r="L54" s="1"/>
      <c r="M54" s="9"/>
      <c r="N54" s="1"/>
      <c r="O54" s="1"/>
      <c r="P54" s="9"/>
    </row>
    <row r="55" spans="8:16" ht="15.75" customHeight="1" x14ac:dyDescent="0.15">
      <c r="H55" s="1"/>
      <c r="I55" s="1"/>
      <c r="J55" s="9"/>
      <c r="K55" s="1"/>
      <c r="L55" s="1"/>
      <c r="M55" s="9"/>
      <c r="N55" s="1"/>
      <c r="O55" s="1"/>
      <c r="P55" s="9"/>
    </row>
    <row r="56" spans="8:16" ht="15.75" customHeight="1" x14ac:dyDescent="0.15">
      <c r="H56" s="1"/>
      <c r="I56" s="1"/>
      <c r="J56" s="9"/>
      <c r="K56" s="1"/>
      <c r="L56" s="1"/>
      <c r="M56" s="9"/>
      <c r="N56" s="1"/>
      <c r="O56" s="1"/>
      <c r="P56" s="9"/>
    </row>
    <row r="57" spans="8:16" ht="15.75" customHeight="1" x14ac:dyDescent="0.15">
      <c r="H57" s="1"/>
      <c r="I57" s="1"/>
      <c r="J57" s="9"/>
      <c r="K57" s="1"/>
      <c r="L57" s="1"/>
      <c r="M57" s="9"/>
      <c r="N57" s="1"/>
      <c r="O57" s="1"/>
      <c r="P57" s="9"/>
    </row>
    <row r="58" spans="8:16" ht="15.75" customHeight="1" x14ac:dyDescent="0.15">
      <c r="H58" s="1"/>
      <c r="I58" s="1"/>
      <c r="J58" s="9"/>
      <c r="K58" s="1"/>
      <c r="L58" s="1"/>
      <c r="M58" s="9"/>
      <c r="N58" s="1"/>
      <c r="O58" s="1"/>
      <c r="P58" s="9"/>
    </row>
    <row r="59" spans="8:16" ht="15.75" customHeight="1" x14ac:dyDescent="0.15">
      <c r="H59" s="1"/>
      <c r="I59" s="1"/>
      <c r="J59" s="9"/>
      <c r="K59" s="1"/>
      <c r="L59" s="1"/>
      <c r="M59" s="9"/>
      <c r="N59" s="1"/>
      <c r="O59" s="1"/>
      <c r="P59" s="9"/>
    </row>
    <row r="60" spans="8:16" ht="15.75" customHeight="1" x14ac:dyDescent="0.15">
      <c r="H60" s="1"/>
      <c r="I60" s="1"/>
      <c r="J60" s="9"/>
      <c r="K60" s="1"/>
      <c r="L60" s="1"/>
      <c r="M60" s="9"/>
      <c r="N60" s="1"/>
      <c r="O60" s="1"/>
      <c r="P60" s="9"/>
    </row>
    <row r="61" spans="8:16" ht="15.75" customHeight="1" x14ac:dyDescent="0.15">
      <c r="H61" s="1"/>
      <c r="I61" s="1"/>
      <c r="J61" s="9"/>
      <c r="K61" s="1"/>
      <c r="L61" s="1"/>
      <c r="M61" s="9"/>
      <c r="N61" s="1"/>
      <c r="O61" s="1"/>
      <c r="P61" s="9"/>
    </row>
    <row r="62" spans="8:16" ht="15.75" customHeight="1" x14ac:dyDescent="0.15">
      <c r="H62" s="1"/>
      <c r="I62" s="1"/>
      <c r="J62" s="9"/>
      <c r="K62" s="1"/>
      <c r="L62" s="1"/>
      <c r="M62" s="9"/>
      <c r="N62" s="1"/>
      <c r="O62" s="1"/>
      <c r="P62" s="9"/>
    </row>
    <row r="63" spans="8:16" ht="15.75" customHeight="1" x14ac:dyDescent="0.15">
      <c r="H63" s="1"/>
      <c r="I63" s="1"/>
      <c r="J63" s="9"/>
      <c r="K63" s="1"/>
      <c r="L63" s="1"/>
      <c r="M63" s="9"/>
      <c r="N63" s="1"/>
      <c r="O63" s="1"/>
      <c r="P63" s="9"/>
    </row>
    <row r="64" spans="8:16" ht="15.75" customHeight="1" x14ac:dyDescent="0.15">
      <c r="H64" s="1"/>
      <c r="I64" s="1"/>
      <c r="J64" s="9"/>
      <c r="K64" s="1"/>
      <c r="L64" s="1"/>
      <c r="M64" s="9"/>
      <c r="N64" s="1"/>
      <c r="O64" s="1"/>
      <c r="P64" s="9"/>
    </row>
    <row r="65" spans="8:16" ht="13" x14ac:dyDescent="0.15">
      <c r="H65" s="1"/>
      <c r="I65" s="1"/>
      <c r="J65" s="9"/>
      <c r="K65" s="1"/>
      <c r="L65" s="1"/>
      <c r="M65" s="9"/>
      <c r="N65" s="1"/>
      <c r="O65" s="1"/>
      <c r="P65" s="9"/>
    </row>
    <row r="66" spans="8:16" ht="13" x14ac:dyDescent="0.15">
      <c r="H66" s="1"/>
      <c r="I66" s="1"/>
      <c r="J66" s="9"/>
      <c r="K66" s="1"/>
      <c r="L66" s="1"/>
      <c r="M66" s="9"/>
      <c r="N66" s="1"/>
      <c r="O66" s="1"/>
      <c r="P66" s="9"/>
    </row>
    <row r="67" spans="8:16" ht="13" x14ac:dyDescent="0.15">
      <c r="H67" s="1"/>
      <c r="I67" s="1"/>
      <c r="J67" s="9"/>
      <c r="K67" s="1"/>
      <c r="L67" s="1"/>
      <c r="M67" s="9"/>
      <c r="N67" s="1"/>
      <c r="O67" s="1"/>
      <c r="P67" s="9"/>
    </row>
    <row r="68" spans="8:16" ht="13" x14ac:dyDescent="0.15">
      <c r="H68" s="1"/>
      <c r="I68" s="1"/>
      <c r="J68" s="9"/>
      <c r="K68" s="1"/>
      <c r="L68" s="1"/>
      <c r="M68" s="9"/>
      <c r="N68" s="1"/>
      <c r="O68" s="1"/>
      <c r="P68" s="9"/>
    </row>
    <row r="69" spans="8:16" ht="13" x14ac:dyDescent="0.15">
      <c r="H69" s="1"/>
      <c r="I69" s="1"/>
      <c r="J69" s="9"/>
      <c r="K69" s="1"/>
      <c r="L69" s="1"/>
      <c r="M69" s="9"/>
      <c r="N69" s="1"/>
      <c r="O69" s="1"/>
      <c r="P69" s="9"/>
    </row>
    <row r="70" spans="8:16" ht="13" x14ac:dyDescent="0.15">
      <c r="H70" s="1"/>
      <c r="I70" s="1"/>
      <c r="J70" s="9"/>
      <c r="K70" s="1"/>
      <c r="L70" s="1"/>
      <c r="M70" s="9"/>
      <c r="N70" s="1"/>
      <c r="O70" s="1"/>
      <c r="P70" s="9"/>
    </row>
    <row r="71" spans="8:16" ht="13" x14ac:dyDescent="0.15">
      <c r="H71" s="1"/>
      <c r="I71" s="1"/>
      <c r="J71" s="9"/>
      <c r="K71" s="1"/>
      <c r="L71" s="1"/>
      <c r="M71" s="9"/>
      <c r="N71" s="1"/>
      <c r="O71" s="1"/>
      <c r="P71" s="9"/>
    </row>
    <row r="72" spans="8:16" ht="13" x14ac:dyDescent="0.15">
      <c r="H72" s="1"/>
      <c r="I72" s="1"/>
      <c r="J72" s="9"/>
      <c r="K72" s="1"/>
      <c r="L72" s="1"/>
      <c r="M72" s="9"/>
      <c r="N72" s="1"/>
      <c r="O72" s="1"/>
      <c r="P72" s="9"/>
    </row>
    <row r="73" spans="8:16" ht="13" x14ac:dyDescent="0.15">
      <c r="H73" s="1"/>
      <c r="I73" s="1"/>
      <c r="J73" s="9"/>
      <c r="K73" s="1"/>
      <c r="L73" s="1"/>
      <c r="M73" s="9"/>
      <c r="N73" s="1"/>
      <c r="O73" s="1"/>
      <c r="P73" s="9"/>
    </row>
    <row r="74" spans="8:16" ht="13" x14ac:dyDescent="0.15">
      <c r="H74" s="1"/>
      <c r="I74" s="1"/>
      <c r="J74" s="9"/>
      <c r="K74" s="1"/>
      <c r="L74" s="1"/>
      <c r="M74" s="9"/>
      <c r="N74" s="1"/>
      <c r="O74" s="1"/>
      <c r="P74" s="9"/>
    </row>
    <row r="75" spans="8:16" ht="13" x14ac:dyDescent="0.15">
      <c r="H75" s="1"/>
      <c r="I75" s="1"/>
      <c r="J75" s="9"/>
      <c r="K75" s="1"/>
      <c r="L75" s="1"/>
      <c r="M75" s="9"/>
      <c r="N75" s="1"/>
      <c r="O75" s="1"/>
      <c r="P75" s="9"/>
    </row>
    <row r="76" spans="8:16" ht="13" x14ac:dyDescent="0.15">
      <c r="H76" s="1"/>
      <c r="I76" s="1"/>
      <c r="J76" s="9"/>
      <c r="K76" s="1"/>
      <c r="L76" s="1"/>
      <c r="M76" s="9"/>
      <c r="N76" s="1"/>
      <c r="O76" s="1"/>
      <c r="P76" s="9"/>
    </row>
    <row r="77" spans="8:16" ht="13" x14ac:dyDescent="0.15">
      <c r="H77" s="1"/>
      <c r="I77" s="1"/>
      <c r="J77" s="9"/>
      <c r="K77" s="1"/>
      <c r="L77" s="1"/>
      <c r="M77" s="9"/>
      <c r="N77" s="1"/>
      <c r="O77" s="1"/>
      <c r="P77" s="9"/>
    </row>
    <row r="78" spans="8:16" ht="13" x14ac:dyDescent="0.15">
      <c r="H78" s="1"/>
      <c r="I78" s="1"/>
      <c r="J78" s="9"/>
      <c r="K78" s="1"/>
      <c r="L78" s="1"/>
      <c r="M78" s="9"/>
      <c r="N78" s="1"/>
      <c r="O78" s="1"/>
      <c r="P78" s="9"/>
    </row>
    <row r="79" spans="8:16" ht="13" x14ac:dyDescent="0.15">
      <c r="H79" s="1"/>
      <c r="I79" s="1"/>
      <c r="J79" s="9"/>
      <c r="K79" s="1"/>
      <c r="L79" s="1"/>
      <c r="M79" s="9"/>
      <c r="N79" s="1"/>
      <c r="O79" s="1"/>
      <c r="P79" s="9"/>
    </row>
    <row r="80" spans="8:16" ht="13" x14ac:dyDescent="0.15">
      <c r="H80" s="1"/>
      <c r="I80" s="1"/>
      <c r="J80" s="9"/>
      <c r="K80" s="1"/>
      <c r="L80" s="1"/>
      <c r="M80" s="9"/>
      <c r="N80" s="1"/>
      <c r="O80" s="1"/>
      <c r="P80" s="9"/>
    </row>
    <row r="81" spans="8:16" ht="13" x14ac:dyDescent="0.15">
      <c r="H81" s="1"/>
      <c r="I81" s="1"/>
      <c r="J81" s="9"/>
      <c r="K81" s="1"/>
      <c r="L81" s="1"/>
      <c r="M81" s="9"/>
      <c r="N81" s="1"/>
      <c r="O81" s="1"/>
      <c r="P81" s="9"/>
    </row>
    <row r="82" spans="8:16" ht="13" x14ac:dyDescent="0.15">
      <c r="H82" s="1"/>
      <c r="I82" s="1"/>
      <c r="J82" s="9"/>
      <c r="K82" s="1"/>
      <c r="L82" s="1"/>
      <c r="M82" s="9"/>
      <c r="N82" s="1"/>
      <c r="O82" s="1"/>
      <c r="P82" s="9"/>
    </row>
    <row r="83" spans="8:16" ht="13" x14ac:dyDescent="0.15">
      <c r="H83" s="1"/>
      <c r="I83" s="1"/>
      <c r="J83" s="9"/>
      <c r="K83" s="1"/>
      <c r="L83" s="1"/>
      <c r="M83" s="9"/>
      <c r="N83" s="1"/>
      <c r="O83" s="1"/>
      <c r="P83" s="9"/>
    </row>
    <row r="84" spans="8:16" ht="13" x14ac:dyDescent="0.15">
      <c r="H84" s="1"/>
      <c r="I84" s="1"/>
      <c r="J84" s="9"/>
      <c r="K84" s="1"/>
      <c r="L84" s="1"/>
      <c r="M84" s="9"/>
      <c r="N84" s="1"/>
      <c r="O84" s="1"/>
      <c r="P84" s="9"/>
    </row>
    <row r="85" spans="8:16" ht="13" x14ac:dyDescent="0.15">
      <c r="H85" s="1"/>
      <c r="I85" s="1"/>
      <c r="J85" s="9"/>
      <c r="K85" s="1"/>
      <c r="L85" s="1"/>
      <c r="M85" s="9"/>
      <c r="N85" s="1"/>
      <c r="O85" s="1"/>
      <c r="P85" s="9"/>
    </row>
    <row r="86" spans="8:16" ht="13" x14ac:dyDescent="0.15">
      <c r="H86" s="1"/>
      <c r="I86" s="1"/>
      <c r="J86" s="9"/>
      <c r="K86" s="1"/>
      <c r="L86" s="1"/>
      <c r="M86" s="9"/>
      <c r="N86" s="1"/>
      <c r="O86" s="1"/>
      <c r="P86" s="9"/>
    </row>
    <row r="87" spans="8:16" ht="13" x14ac:dyDescent="0.15">
      <c r="H87" s="1"/>
      <c r="I87" s="1"/>
      <c r="J87" s="9"/>
      <c r="K87" s="1"/>
      <c r="L87" s="1"/>
      <c r="M87" s="9"/>
      <c r="N87" s="1"/>
      <c r="O87" s="1"/>
      <c r="P87" s="9"/>
    </row>
    <row r="88" spans="8:16" ht="13" x14ac:dyDescent="0.15">
      <c r="H88" s="1"/>
      <c r="I88" s="1"/>
      <c r="J88" s="9"/>
      <c r="K88" s="1"/>
      <c r="L88" s="1"/>
      <c r="M88" s="9"/>
      <c r="N88" s="1"/>
      <c r="O88" s="1"/>
      <c r="P88" s="9"/>
    </row>
    <row r="89" spans="8:16" ht="13" x14ac:dyDescent="0.15">
      <c r="H89" s="1"/>
      <c r="I89" s="1"/>
      <c r="J89" s="9"/>
      <c r="K89" s="1"/>
      <c r="L89" s="1"/>
      <c r="M89" s="9"/>
      <c r="N89" s="1"/>
      <c r="O89" s="1"/>
      <c r="P89" s="9"/>
    </row>
    <row r="90" spans="8:16" ht="13" x14ac:dyDescent="0.15">
      <c r="H90" s="1"/>
      <c r="I90" s="1"/>
      <c r="J90" s="9"/>
      <c r="K90" s="1"/>
      <c r="L90" s="1"/>
      <c r="M90" s="9"/>
      <c r="N90" s="1"/>
      <c r="O90" s="1"/>
      <c r="P90" s="9"/>
    </row>
    <row r="91" spans="8:16" ht="13" x14ac:dyDescent="0.15">
      <c r="H91" s="1"/>
      <c r="I91" s="1"/>
      <c r="J91" s="9"/>
      <c r="K91" s="1"/>
      <c r="L91" s="1"/>
      <c r="M91" s="9"/>
      <c r="N91" s="1"/>
      <c r="O91" s="1"/>
      <c r="P91" s="9"/>
    </row>
    <row r="92" spans="8:16" ht="13" x14ac:dyDescent="0.15">
      <c r="H92" s="1"/>
      <c r="I92" s="1"/>
      <c r="J92" s="9"/>
      <c r="K92" s="1"/>
      <c r="L92" s="1"/>
      <c r="M92" s="9"/>
      <c r="N92" s="1"/>
      <c r="O92" s="1"/>
      <c r="P92" s="9"/>
    </row>
    <row r="93" spans="8:16" ht="13" x14ac:dyDescent="0.15">
      <c r="H93" s="1"/>
      <c r="I93" s="1"/>
      <c r="J93" s="9"/>
      <c r="K93" s="1"/>
      <c r="L93" s="1"/>
      <c r="M93" s="9"/>
      <c r="N93" s="1"/>
      <c r="O93" s="1"/>
      <c r="P93" s="9"/>
    </row>
    <row r="94" spans="8:16" ht="13" x14ac:dyDescent="0.15">
      <c r="H94" s="1"/>
      <c r="I94" s="1"/>
      <c r="J94" s="9"/>
      <c r="K94" s="1"/>
      <c r="L94" s="1"/>
      <c r="M94" s="9"/>
      <c r="N94" s="1"/>
      <c r="O94" s="1"/>
      <c r="P94" s="9"/>
    </row>
    <row r="95" spans="8:16" ht="13" x14ac:dyDescent="0.15">
      <c r="H95" s="1"/>
      <c r="I95" s="1"/>
      <c r="J95" s="9"/>
      <c r="K95" s="1"/>
      <c r="L95" s="1"/>
      <c r="M95" s="9"/>
      <c r="N95" s="1"/>
      <c r="O95" s="1"/>
      <c r="P95" s="9"/>
    </row>
    <row r="96" spans="8:16" ht="13" x14ac:dyDescent="0.15">
      <c r="H96" s="1"/>
      <c r="I96" s="1"/>
      <c r="J96" s="9"/>
      <c r="K96" s="1"/>
      <c r="L96" s="1"/>
      <c r="M96" s="9"/>
      <c r="N96" s="1"/>
      <c r="O96" s="1"/>
      <c r="P96" s="9"/>
    </row>
    <row r="97" spans="8:16" ht="13" x14ac:dyDescent="0.15">
      <c r="H97" s="1"/>
      <c r="I97" s="1"/>
      <c r="J97" s="9"/>
      <c r="K97" s="1"/>
      <c r="L97" s="1"/>
      <c r="M97" s="9"/>
      <c r="N97" s="1"/>
      <c r="O97" s="1"/>
      <c r="P97" s="9"/>
    </row>
    <row r="98" spans="8:16" ht="13" x14ac:dyDescent="0.15">
      <c r="H98" s="1"/>
      <c r="I98" s="1"/>
      <c r="J98" s="9"/>
      <c r="K98" s="1"/>
      <c r="L98" s="1"/>
      <c r="M98" s="9"/>
      <c r="N98" s="1"/>
      <c r="O98" s="1"/>
      <c r="P98" s="9"/>
    </row>
    <row r="99" spans="8:16" ht="13" x14ac:dyDescent="0.15">
      <c r="H99" s="1"/>
      <c r="I99" s="1"/>
      <c r="J99" s="9"/>
      <c r="K99" s="1"/>
      <c r="L99" s="1"/>
      <c r="M99" s="9"/>
      <c r="N99" s="1"/>
      <c r="O99" s="1"/>
      <c r="P99" s="9"/>
    </row>
    <row r="100" spans="8:16" ht="13" x14ac:dyDescent="0.15">
      <c r="H100" s="1"/>
      <c r="I100" s="1"/>
      <c r="J100" s="9"/>
      <c r="K100" s="1"/>
      <c r="L100" s="1"/>
      <c r="M100" s="9"/>
      <c r="N100" s="1"/>
      <c r="O100" s="1"/>
      <c r="P100" s="9"/>
    </row>
    <row r="101" spans="8:16" ht="13" x14ac:dyDescent="0.15">
      <c r="H101" s="1"/>
      <c r="I101" s="1"/>
      <c r="J101" s="9"/>
      <c r="K101" s="1"/>
      <c r="L101" s="1"/>
      <c r="M101" s="9"/>
      <c r="N101" s="1"/>
      <c r="O101" s="1"/>
      <c r="P101" s="9"/>
    </row>
    <row r="102" spans="8:16" ht="13" x14ac:dyDescent="0.15">
      <c r="H102" s="1"/>
      <c r="I102" s="1"/>
      <c r="J102" s="9"/>
      <c r="K102" s="1"/>
      <c r="L102" s="1"/>
      <c r="M102" s="9"/>
      <c r="N102" s="1"/>
      <c r="O102" s="1"/>
      <c r="P102" s="9"/>
    </row>
    <row r="103" spans="8:16" ht="13" x14ac:dyDescent="0.15">
      <c r="H103" s="1"/>
      <c r="I103" s="1"/>
      <c r="J103" s="9"/>
      <c r="K103" s="1"/>
      <c r="L103" s="1"/>
      <c r="M103" s="9"/>
      <c r="N103" s="1"/>
      <c r="O103" s="1"/>
      <c r="P103" s="9"/>
    </row>
    <row r="104" spans="8:16" ht="13" x14ac:dyDescent="0.15">
      <c r="H104" s="1"/>
      <c r="I104" s="1"/>
      <c r="J104" s="9"/>
      <c r="K104" s="1"/>
      <c r="L104" s="1"/>
      <c r="M104" s="9"/>
      <c r="N104" s="1"/>
      <c r="O104" s="1"/>
      <c r="P104" s="9"/>
    </row>
    <row r="105" spans="8:16" ht="13" x14ac:dyDescent="0.15">
      <c r="H105" s="1"/>
      <c r="I105" s="1"/>
      <c r="J105" s="9"/>
      <c r="K105" s="1"/>
      <c r="L105" s="1"/>
      <c r="M105" s="9"/>
      <c r="N105" s="1"/>
      <c r="O105" s="1"/>
      <c r="P105" s="9"/>
    </row>
    <row r="106" spans="8:16" ht="13" x14ac:dyDescent="0.15">
      <c r="H106" s="1"/>
      <c r="I106" s="1"/>
      <c r="J106" s="9"/>
      <c r="K106" s="1"/>
      <c r="L106" s="1"/>
      <c r="M106" s="9"/>
      <c r="N106" s="1"/>
      <c r="O106" s="1"/>
      <c r="P106" s="9"/>
    </row>
    <row r="107" spans="8:16" ht="13" x14ac:dyDescent="0.15">
      <c r="H107" s="1"/>
      <c r="I107" s="1"/>
      <c r="J107" s="9"/>
      <c r="K107" s="1"/>
      <c r="L107" s="1"/>
      <c r="M107" s="9"/>
      <c r="N107" s="1"/>
      <c r="O107" s="1"/>
      <c r="P107" s="9"/>
    </row>
    <row r="108" spans="8:16" ht="13" x14ac:dyDescent="0.15">
      <c r="H108" s="1"/>
      <c r="I108" s="1"/>
      <c r="J108" s="9"/>
      <c r="K108" s="1"/>
      <c r="L108" s="1"/>
      <c r="M108" s="9"/>
      <c r="N108" s="1"/>
      <c r="O108" s="1"/>
      <c r="P108" s="9"/>
    </row>
    <row r="109" spans="8:16" ht="13" x14ac:dyDescent="0.15">
      <c r="H109" s="1"/>
      <c r="I109" s="1"/>
      <c r="J109" s="9"/>
      <c r="K109" s="1"/>
      <c r="L109" s="1"/>
      <c r="M109" s="9"/>
      <c r="N109" s="1"/>
      <c r="O109" s="1"/>
      <c r="P109" s="9"/>
    </row>
    <row r="110" spans="8:16" ht="13" x14ac:dyDescent="0.15">
      <c r="H110" s="1"/>
      <c r="I110" s="1"/>
      <c r="J110" s="9"/>
      <c r="K110" s="1"/>
      <c r="L110" s="1"/>
      <c r="M110" s="9"/>
      <c r="N110" s="1"/>
      <c r="O110" s="1"/>
      <c r="P110" s="9"/>
    </row>
    <row r="111" spans="8:16" ht="13" x14ac:dyDescent="0.15">
      <c r="H111" s="1"/>
      <c r="I111" s="1"/>
      <c r="J111" s="9"/>
      <c r="K111" s="1"/>
      <c r="L111" s="1"/>
      <c r="M111" s="9"/>
      <c r="N111" s="1"/>
      <c r="O111" s="1"/>
      <c r="P111" s="9"/>
    </row>
    <row r="112" spans="8:16" ht="13" x14ac:dyDescent="0.15">
      <c r="H112" s="1"/>
      <c r="I112" s="1"/>
      <c r="J112" s="9"/>
      <c r="K112" s="1"/>
      <c r="L112" s="1"/>
      <c r="M112" s="9"/>
      <c r="N112" s="1"/>
      <c r="O112" s="1"/>
      <c r="P112" s="9"/>
    </row>
    <row r="113" spans="8:16" ht="13" x14ac:dyDescent="0.15">
      <c r="H113" s="1"/>
      <c r="I113" s="1"/>
      <c r="J113" s="9"/>
      <c r="K113" s="1"/>
      <c r="L113" s="1"/>
      <c r="M113" s="9"/>
      <c r="N113" s="1"/>
      <c r="O113" s="1"/>
      <c r="P113" s="9"/>
    </row>
    <row r="114" spans="8:16" ht="13" x14ac:dyDescent="0.15">
      <c r="H114" s="1"/>
      <c r="I114" s="1"/>
      <c r="J114" s="9"/>
      <c r="K114" s="1"/>
      <c r="L114" s="1"/>
      <c r="M114" s="9"/>
      <c r="N114" s="1"/>
      <c r="O114" s="1"/>
      <c r="P114" s="9"/>
    </row>
    <row r="115" spans="8:16" ht="13" x14ac:dyDescent="0.15">
      <c r="H115" s="1"/>
      <c r="I115" s="1"/>
      <c r="J115" s="9"/>
      <c r="K115" s="1"/>
      <c r="L115" s="1"/>
      <c r="M115" s="9"/>
      <c r="N115" s="1"/>
      <c r="O115" s="1"/>
      <c r="P115" s="9"/>
    </row>
    <row r="116" spans="8:16" ht="13" x14ac:dyDescent="0.15">
      <c r="H116" s="1"/>
      <c r="I116" s="1"/>
      <c r="J116" s="9"/>
      <c r="K116" s="1"/>
      <c r="L116" s="1"/>
      <c r="M116" s="9"/>
      <c r="N116" s="1"/>
      <c r="O116" s="1"/>
      <c r="P116" s="9"/>
    </row>
    <row r="117" spans="8:16" ht="13" x14ac:dyDescent="0.15">
      <c r="H117" s="1"/>
      <c r="I117" s="1"/>
      <c r="J117" s="9"/>
      <c r="K117" s="1"/>
      <c r="L117" s="1"/>
      <c r="M117" s="9"/>
      <c r="N117" s="1"/>
      <c r="O117" s="1"/>
      <c r="P117" s="9"/>
    </row>
    <row r="118" spans="8:16" ht="13" x14ac:dyDescent="0.15">
      <c r="H118" s="1"/>
      <c r="I118" s="1"/>
      <c r="J118" s="9"/>
      <c r="K118" s="1"/>
      <c r="L118" s="1"/>
      <c r="M118" s="9"/>
      <c r="N118" s="1"/>
      <c r="O118" s="1"/>
      <c r="P118" s="9"/>
    </row>
    <row r="119" spans="8:16" ht="13" x14ac:dyDescent="0.15">
      <c r="H119" s="1"/>
      <c r="I119" s="1"/>
      <c r="J119" s="9"/>
      <c r="K119" s="1"/>
      <c r="L119" s="1"/>
      <c r="M119" s="9"/>
      <c r="N119" s="1"/>
      <c r="O119" s="1"/>
      <c r="P119" s="9"/>
    </row>
    <row r="120" spans="8:16" ht="13" x14ac:dyDescent="0.15">
      <c r="H120" s="1"/>
      <c r="I120" s="1"/>
      <c r="J120" s="9"/>
      <c r="K120" s="1"/>
      <c r="L120" s="1"/>
      <c r="M120" s="9"/>
      <c r="N120" s="1"/>
      <c r="O120" s="1"/>
      <c r="P120" s="9"/>
    </row>
    <row r="121" spans="8:16" ht="13" x14ac:dyDescent="0.15">
      <c r="H121" s="1"/>
      <c r="I121" s="1"/>
      <c r="J121" s="9"/>
      <c r="K121" s="1"/>
      <c r="L121" s="1"/>
      <c r="M121" s="9"/>
      <c r="N121" s="1"/>
      <c r="O121" s="1"/>
      <c r="P121" s="9"/>
    </row>
    <row r="122" spans="8:16" ht="13" x14ac:dyDescent="0.15">
      <c r="H122" s="1"/>
      <c r="I122" s="1"/>
      <c r="J122" s="9"/>
      <c r="K122" s="1"/>
      <c r="L122" s="1"/>
      <c r="M122" s="9"/>
      <c r="N122" s="1"/>
      <c r="O122" s="1"/>
      <c r="P122" s="9"/>
    </row>
    <row r="123" spans="8:16" ht="13" x14ac:dyDescent="0.15">
      <c r="H123" s="1"/>
      <c r="I123" s="1"/>
      <c r="J123" s="9"/>
      <c r="K123" s="1"/>
      <c r="L123" s="1"/>
      <c r="M123" s="9"/>
      <c r="N123" s="1"/>
      <c r="O123" s="1"/>
      <c r="P123" s="9"/>
    </row>
    <row r="124" spans="8:16" ht="13" x14ac:dyDescent="0.15">
      <c r="H124" s="1"/>
      <c r="I124" s="1"/>
      <c r="J124" s="9"/>
      <c r="K124" s="1"/>
      <c r="L124" s="1"/>
      <c r="M124" s="9"/>
      <c r="N124" s="1"/>
      <c r="O124" s="1"/>
      <c r="P124" s="9"/>
    </row>
    <row r="125" spans="8:16" ht="13" x14ac:dyDescent="0.15">
      <c r="H125" s="1"/>
      <c r="I125" s="1"/>
      <c r="J125" s="9"/>
      <c r="K125" s="1"/>
      <c r="L125" s="1"/>
      <c r="M125" s="9"/>
      <c r="N125" s="1"/>
      <c r="O125" s="1"/>
      <c r="P125" s="9"/>
    </row>
    <row r="126" spans="8:16" ht="13" x14ac:dyDescent="0.15">
      <c r="H126" s="1"/>
      <c r="I126" s="1"/>
      <c r="J126" s="9"/>
      <c r="K126" s="1"/>
      <c r="L126" s="1"/>
      <c r="M126" s="9"/>
      <c r="N126" s="1"/>
      <c r="O126" s="1"/>
      <c r="P126" s="9"/>
    </row>
    <row r="127" spans="8:16" ht="13" x14ac:dyDescent="0.15">
      <c r="H127" s="1"/>
      <c r="I127" s="1"/>
      <c r="J127" s="9"/>
      <c r="K127" s="1"/>
      <c r="L127" s="1"/>
      <c r="M127" s="9"/>
      <c r="N127" s="1"/>
      <c r="O127" s="1"/>
      <c r="P127" s="9"/>
    </row>
    <row r="128" spans="8:16" ht="13" x14ac:dyDescent="0.15">
      <c r="H128" s="1"/>
      <c r="I128" s="1"/>
      <c r="J128" s="9"/>
      <c r="K128" s="1"/>
      <c r="L128" s="1"/>
      <c r="M128" s="9"/>
      <c r="N128" s="1"/>
      <c r="O128" s="1"/>
      <c r="P128" s="9"/>
    </row>
    <row r="129" spans="8:16" ht="13" x14ac:dyDescent="0.15">
      <c r="H129" s="1"/>
      <c r="I129" s="1"/>
      <c r="J129" s="9"/>
      <c r="K129" s="1"/>
      <c r="L129" s="1"/>
      <c r="M129" s="9"/>
      <c r="N129" s="1"/>
      <c r="O129" s="1"/>
      <c r="P129" s="9"/>
    </row>
    <row r="130" spans="8:16" ht="13" x14ac:dyDescent="0.15">
      <c r="H130" s="1"/>
      <c r="I130" s="1"/>
      <c r="J130" s="9"/>
      <c r="K130" s="1"/>
      <c r="L130" s="1"/>
      <c r="M130" s="9"/>
      <c r="N130" s="1"/>
      <c r="O130" s="1"/>
      <c r="P130" s="9"/>
    </row>
    <row r="131" spans="8:16" ht="13" x14ac:dyDescent="0.15">
      <c r="H131" s="1"/>
      <c r="I131" s="1"/>
      <c r="J131" s="9"/>
      <c r="K131" s="1"/>
      <c r="L131" s="1"/>
      <c r="M131" s="9"/>
      <c r="N131" s="1"/>
      <c r="O131" s="1"/>
      <c r="P131" s="9"/>
    </row>
    <row r="132" spans="8:16" ht="13" x14ac:dyDescent="0.15">
      <c r="H132" s="1"/>
      <c r="I132" s="1"/>
      <c r="J132" s="9"/>
      <c r="K132" s="1"/>
      <c r="L132" s="1"/>
      <c r="M132" s="9"/>
      <c r="N132" s="1"/>
      <c r="O132" s="1"/>
      <c r="P132" s="9"/>
    </row>
    <row r="133" spans="8:16" ht="13" x14ac:dyDescent="0.15">
      <c r="H133" s="1"/>
      <c r="I133" s="1"/>
      <c r="J133" s="9"/>
      <c r="K133" s="1"/>
      <c r="L133" s="1"/>
      <c r="M133" s="9"/>
      <c r="N133" s="1"/>
      <c r="O133" s="1"/>
      <c r="P133" s="9"/>
    </row>
    <row r="134" spans="8:16" ht="13" x14ac:dyDescent="0.15">
      <c r="H134" s="1"/>
      <c r="I134" s="1"/>
      <c r="J134" s="9"/>
      <c r="K134" s="1"/>
      <c r="L134" s="1"/>
      <c r="M134" s="9"/>
      <c r="N134" s="1"/>
      <c r="O134" s="1"/>
      <c r="P134" s="9"/>
    </row>
    <row r="135" spans="8:16" ht="13" x14ac:dyDescent="0.15">
      <c r="H135" s="1"/>
      <c r="I135" s="1"/>
      <c r="J135" s="9"/>
      <c r="K135" s="1"/>
      <c r="L135" s="1"/>
      <c r="M135" s="9"/>
      <c r="N135" s="1"/>
      <c r="O135" s="1"/>
      <c r="P135" s="9"/>
    </row>
    <row r="136" spans="8:16" ht="13" x14ac:dyDescent="0.15">
      <c r="H136" s="1"/>
      <c r="I136" s="1"/>
      <c r="J136" s="9"/>
      <c r="K136" s="1"/>
      <c r="L136" s="1"/>
      <c r="M136" s="9"/>
      <c r="N136" s="1"/>
      <c r="O136" s="1"/>
      <c r="P136" s="9"/>
    </row>
    <row r="137" spans="8:16" ht="13" x14ac:dyDescent="0.15">
      <c r="H137" s="1"/>
      <c r="I137" s="1"/>
      <c r="J137" s="9"/>
      <c r="K137" s="1"/>
      <c r="L137" s="1"/>
      <c r="M137" s="9"/>
      <c r="N137" s="1"/>
      <c r="O137" s="1"/>
      <c r="P137" s="9"/>
    </row>
    <row r="138" spans="8:16" ht="13" x14ac:dyDescent="0.15">
      <c r="H138" s="1"/>
      <c r="I138" s="1"/>
      <c r="J138" s="9"/>
      <c r="K138" s="1"/>
      <c r="L138" s="1"/>
      <c r="M138" s="9"/>
      <c r="N138" s="1"/>
      <c r="O138" s="1"/>
      <c r="P138" s="9"/>
    </row>
    <row r="139" spans="8:16" ht="13" x14ac:dyDescent="0.15">
      <c r="H139" s="1"/>
      <c r="I139" s="1"/>
      <c r="J139" s="9"/>
      <c r="K139" s="1"/>
      <c r="L139" s="1"/>
      <c r="M139" s="9"/>
      <c r="N139" s="1"/>
      <c r="O139" s="1"/>
      <c r="P139" s="9"/>
    </row>
    <row r="140" spans="8:16" ht="13" x14ac:dyDescent="0.15">
      <c r="H140" s="1"/>
      <c r="I140" s="1"/>
      <c r="J140" s="9"/>
      <c r="K140" s="1"/>
      <c r="L140" s="1"/>
      <c r="M140" s="9"/>
      <c r="N140" s="1"/>
      <c r="O140" s="1"/>
      <c r="P140" s="9"/>
    </row>
    <row r="141" spans="8:16" ht="13" x14ac:dyDescent="0.15">
      <c r="H141" s="1"/>
      <c r="I141" s="1"/>
      <c r="J141" s="9"/>
      <c r="K141" s="1"/>
      <c r="L141" s="1"/>
      <c r="M141" s="9"/>
      <c r="N141" s="1"/>
      <c r="O141" s="1"/>
      <c r="P141" s="9"/>
    </row>
    <row r="142" spans="8:16" ht="13" x14ac:dyDescent="0.15">
      <c r="H142" s="1"/>
      <c r="I142" s="1"/>
      <c r="J142" s="9"/>
      <c r="K142" s="1"/>
      <c r="L142" s="1"/>
      <c r="M142" s="9"/>
      <c r="N142" s="1"/>
      <c r="O142" s="1"/>
      <c r="P142" s="9"/>
    </row>
    <row r="143" spans="8:16" ht="13" x14ac:dyDescent="0.15">
      <c r="H143" s="1"/>
      <c r="I143" s="1"/>
      <c r="J143" s="9"/>
      <c r="K143" s="1"/>
      <c r="L143" s="1"/>
      <c r="M143" s="9"/>
      <c r="N143" s="1"/>
      <c r="O143" s="1"/>
      <c r="P143" s="9"/>
    </row>
    <row r="144" spans="8:16" ht="13" x14ac:dyDescent="0.15">
      <c r="H144" s="1"/>
      <c r="I144" s="1"/>
      <c r="J144" s="9"/>
      <c r="K144" s="1"/>
      <c r="L144" s="1"/>
      <c r="M144" s="9"/>
      <c r="N144" s="1"/>
      <c r="O144" s="1"/>
      <c r="P144" s="9"/>
    </row>
    <row r="145" spans="8:16" ht="13" x14ac:dyDescent="0.15">
      <c r="H145" s="1"/>
      <c r="I145" s="1"/>
      <c r="J145" s="9"/>
      <c r="K145" s="1"/>
      <c r="L145" s="1"/>
      <c r="M145" s="9"/>
      <c r="N145" s="1"/>
      <c r="O145" s="1"/>
      <c r="P145" s="9"/>
    </row>
    <row r="146" spans="8:16" ht="13" x14ac:dyDescent="0.15">
      <c r="H146" s="1"/>
      <c r="I146" s="1"/>
      <c r="J146" s="9"/>
      <c r="K146" s="1"/>
      <c r="L146" s="1"/>
      <c r="M146" s="9"/>
      <c r="N146" s="1"/>
      <c r="O146" s="1"/>
      <c r="P146" s="9"/>
    </row>
    <row r="147" spans="8:16" ht="13" x14ac:dyDescent="0.15">
      <c r="H147" s="1"/>
      <c r="I147" s="1"/>
      <c r="J147" s="9"/>
      <c r="K147" s="1"/>
      <c r="L147" s="1"/>
      <c r="M147" s="9"/>
      <c r="N147" s="1"/>
      <c r="O147" s="1"/>
      <c r="P147" s="9"/>
    </row>
    <row r="148" spans="8:16" ht="13" x14ac:dyDescent="0.15">
      <c r="H148" s="1"/>
      <c r="I148" s="1"/>
      <c r="J148" s="9"/>
      <c r="K148" s="1"/>
      <c r="L148" s="1"/>
      <c r="M148" s="9"/>
      <c r="N148" s="1"/>
      <c r="O148" s="1"/>
      <c r="P148" s="9"/>
    </row>
    <row r="149" spans="8:16" ht="13" x14ac:dyDescent="0.15">
      <c r="H149" s="1"/>
      <c r="I149" s="1"/>
      <c r="J149" s="9"/>
      <c r="K149" s="1"/>
      <c r="L149" s="1"/>
      <c r="M149" s="9"/>
      <c r="N149" s="1"/>
      <c r="O149" s="1"/>
      <c r="P149" s="9"/>
    </row>
    <row r="150" spans="8:16" ht="13" x14ac:dyDescent="0.15">
      <c r="H150" s="1"/>
      <c r="I150" s="1"/>
      <c r="J150" s="9"/>
      <c r="K150" s="1"/>
      <c r="L150" s="1"/>
      <c r="M150" s="9"/>
      <c r="N150" s="1"/>
      <c r="O150" s="1"/>
      <c r="P150" s="9"/>
    </row>
    <row r="151" spans="8:16" ht="13" x14ac:dyDescent="0.15">
      <c r="H151" s="1"/>
      <c r="I151" s="1"/>
      <c r="J151" s="9"/>
      <c r="K151" s="1"/>
      <c r="L151" s="1"/>
      <c r="M151" s="9"/>
      <c r="N151" s="1"/>
      <c r="O151" s="1"/>
      <c r="P151" s="9"/>
    </row>
    <row r="152" spans="8:16" ht="13" x14ac:dyDescent="0.15">
      <c r="H152" s="1"/>
      <c r="I152" s="1"/>
      <c r="J152" s="9"/>
      <c r="K152" s="1"/>
      <c r="L152" s="1"/>
      <c r="M152" s="9"/>
      <c r="N152" s="1"/>
      <c r="O152" s="1"/>
      <c r="P152" s="9"/>
    </row>
    <row r="153" spans="8:16" ht="13" x14ac:dyDescent="0.15">
      <c r="H153" s="1"/>
      <c r="I153" s="1"/>
      <c r="J153" s="9"/>
      <c r="K153" s="1"/>
      <c r="L153" s="1"/>
      <c r="M153" s="9"/>
      <c r="N153" s="1"/>
      <c r="O153" s="1"/>
      <c r="P153" s="9"/>
    </row>
    <row r="154" spans="8:16" ht="13" x14ac:dyDescent="0.15">
      <c r="H154" s="1"/>
      <c r="I154" s="1"/>
      <c r="J154" s="9"/>
      <c r="K154" s="1"/>
      <c r="L154" s="1"/>
      <c r="M154" s="9"/>
      <c r="N154" s="1"/>
      <c r="O154" s="1"/>
      <c r="P154" s="9"/>
    </row>
    <row r="155" spans="8:16" ht="13" x14ac:dyDescent="0.15">
      <c r="H155" s="1"/>
      <c r="I155" s="1"/>
      <c r="J155" s="9"/>
      <c r="K155" s="1"/>
      <c r="L155" s="1"/>
      <c r="M155" s="9"/>
      <c r="N155" s="1"/>
      <c r="O155" s="1"/>
      <c r="P155" s="9"/>
    </row>
    <row r="156" spans="8:16" ht="13" x14ac:dyDescent="0.15">
      <c r="H156" s="1"/>
      <c r="I156" s="1"/>
      <c r="J156" s="9"/>
      <c r="K156" s="1"/>
      <c r="L156" s="1"/>
      <c r="M156" s="9"/>
      <c r="N156" s="1"/>
      <c r="O156" s="1"/>
      <c r="P156" s="9"/>
    </row>
    <row r="157" spans="8:16" ht="13" x14ac:dyDescent="0.15">
      <c r="H157" s="1"/>
      <c r="I157" s="1"/>
      <c r="J157" s="9"/>
      <c r="K157" s="1"/>
      <c r="L157" s="1"/>
      <c r="M157" s="9"/>
      <c r="N157" s="1"/>
      <c r="O157" s="1"/>
      <c r="P157" s="9"/>
    </row>
    <row r="158" spans="8:16" ht="13" x14ac:dyDescent="0.15">
      <c r="H158" s="1"/>
      <c r="I158" s="1"/>
      <c r="J158" s="9"/>
      <c r="K158" s="1"/>
      <c r="L158" s="1"/>
      <c r="M158" s="9"/>
      <c r="N158" s="1"/>
      <c r="O158" s="1"/>
      <c r="P158" s="9"/>
    </row>
    <row r="159" spans="8:16" ht="13" x14ac:dyDescent="0.15">
      <c r="H159" s="1"/>
      <c r="I159" s="1"/>
      <c r="J159" s="9"/>
      <c r="K159" s="1"/>
      <c r="L159" s="1"/>
      <c r="M159" s="9"/>
      <c r="N159" s="1"/>
      <c r="O159" s="1"/>
      <c r="P159" s="9"/>
    </row>
    <row r="160" spans="8:16" ht="13" x14ac:dyDescent="0.15">
      <c r="H160" s="1"/>
      <c r="I160" s="1"/>
      <c r="J160" s="9"/>
      <c r="K160" s="1"/>
      <c r="L160" s="1"/>
      <c r="M160" s="9"/>
      <c r="N160" s="1"/>
      <c r="O160" s="1"/>
      <c r="P160" s="9"/>
    </row>
    <row r="161" spans="8:16" ht="13" x14ac:dyDescent="0.15">
      <c r="H161" s="1"/>
      <c r="I161" s="1"/>
      <c r="J161" s="9"/>
      <c r="K161" s="1"/>
      <c r="L161" s="1"/>
      <c r="M161" s="9"/>
      <c r="N161" s="1"/>
      <c r="O161" s="1"/>
      <c r="P161" s="9"/>
    </row>
    <row r="162" spans="8:16" ht="13" x14ac:dyDescent="0.15">
      <c r="H162" s="1"/>
      <c r="I162" s="1"/>
      <c r="J162" s="9"/>
      <c r="K162" s="1"/>
      <c r="L162" s="1"/>
      <c r="M162" s="9"/>
      <c r="N162" s="1"/>
      <c r="O162" s="1"/>
      <c r="P162" s="9"/>
    </row>
    <row r="163" spans="8:16" ht="13" x14ac:dyDescent="0.15">
      <c r="H163" s="1"/>
      <c r="I163" s="1"/>
      <c r="J163" s="9"/>
      <c r="K163" s="1"/>
      <c r="L163" s="1"/>
      <c r="M163" s="9"/>
      <c r="N163" s="1"/>
      <c r="O163" s="1"/>
      <c r="P163" s="9"/>
    </row>
    <row r="164" spans="8:16" ht="13" x14ac:dyDescent="0.15">
      <c r="H164" s="1"/>
      <c r="I164" s="1"/>
      <c r="J164" s="9"/>
      <c r="K164" s="1"/>
      <c r="L164" s="1"/>
      <c r="M164" s="9"/>
      <c r="N164" s="1"/>
      <c r="O164" s="1"/>
      <c r="P164" s="9"/>
    </row>
    <row r="165" spans="8:16" ht="13" x14ac:dyDescent="0.15">
      <c r="H165" s="1"/>
      <c r="I165" s="1"/>
      <c r="J165" s="9"/>
      <c r="K165" s="1"/>
      <c r="L165" s="1"/>
      <c r="M165" s="9"/>
      <c r="N165" s="1"/>
      <c r="O165" s="1"/>
      <c r="P165" s="9"/>
    </row>
    <row r="166" spans="8:16" ht="13" x14ac:dyDescent="0.15">
      <c r="H166" s="1"/>
      <c r="I166" s="1"/>
      <c r="J166" s="9"/>
      <c r="K166" s="1"/>
      <c r="L166" s="1"/>
      <c r="M166" s="9"/>
      <c r="N166" s="1"/>
      <c r="O166" s="1"/>
      <c r="P166" s="9"/>
    </row>
    <row r="167" spans="8:16" ht="13" x14ac:dyDescent="0.15">
      <c r="H167" s="1"/>
      <c r="I167" s="1"/>
      <c r="J167" s="9"/>
      <c r="K167" s="1"/>
      <c r="L167" s="1"/>
      <c r="M167" s="9"/>
      <c r="N167" s="1"/>
      <c r="O167" s="1"/>
      <c r="P167" s="9"/>
    </row>
    <row r="168" spans="8:16" ht="13" x14ac:dyDescent="0.15">
      <c r="H168" s="1"/>
      <c r="I168" s="1"/>
      <c r="J168" s="9"/>
      <c r="K168" s="1"/>
      <c r="L168" s="1"/>
      <c r="M168" s="9"/>
      <c r="N168" s="1"/>
      <c r="O168" s="1"/>
      <c r="P168" s="9"/>
    </row>
    <row r="169" spans="8:16" ht="13" x14ac:dyDescent="0.15">
      <c r="H169" s="1"/>
      <c r="I169" s="1"/>
      <c r="J169" s="9"/>
      <c r="K169" s="1"/>
      <c r="L169" s="1"/>
      <c r="M169" s="9"/>
      <c r="N169" s="1"/>
      <c r="O169" s="1"/>
      <c r="P169" s="9"/>
    </row>
    <row r="170" spans="8:16" ht="13" x14ac:dyDescent="0.15">
      <c r="H170" s="1"/>
      <c r="I170" s="1"/>
      <c r="J170" s="9"/>
      <c r="K170" s="1"/>
      <c r="L170" s="1"/>
      <c r="M170" s="9"/>
      <c r="N170" s="1"/>
      <c r="O170" s="1"/>
      <c r="P170" s="9"/>
    </row>
    <row r="171" spans="8:16" ht="13" x14ac:dyDescent="0.15">
      <c r="H171" s="1"/>
      <c r="I171" s="1"/>
      <c r="J171" s="9"/>
      <c r="K171" s="1"/>
      <c r="L171" s="1"/>
      <c r="M171" s="9"/>
      <c r="N171" s="1"/>
      <c r="O171" s="1"/>
      <c r="P171" s="9"/>
    </row>
    <row r="172" spans="8:16" ht="13" x14ac:dyDescent="0.15">
      <c r="H172" s="1"/>
      <c r="I172" s="1"/>
      <c r="J172" s="9"/>
      <c r="K172" s="1"/>
      <c r="L172" s="1"/>
      <c r="M172" s="9"/>
      <c r="N172" s="1"/>
      <c r="O172" s="1"/>
      <c r="P172" s="9"/>
    </row>
    <row r="173" spans="8:16" ht="13" x14ac:dyDescent="0.15">
      <c r="H173" s="1"/>
      <c r="I173" s="1"/>
      <c r="J173" s="9"/>
      <c r="K173" s="1"/>
      <c r="L173" s="1"/>
      <c r="M173" s="9"/>
      <c r="N173" s="1"/>
      <c r="O173" s="1"/>
      <c r="P173" s="9"/>
    </row>
    <row r="174" spans="8:16" ht="13" x14ac:dyDescent="0.15">
      <c r="H174" s="1"/>
      <c r="I174" s="1"/>
      <c r="J174" s="9"/>
      <c r="K174" s="1"/>
      <c r="L174" s="1"/>
      <c r="M174" s="9"/>
      <c r="N174" s="1"/>
      <c r="O174" s="1"/>
      <c r="P174" s="9"/>
    </row>
    <row r="175" spans="8:16" ht="13" x14ac:dyDescent="0.15">
      <c r="H175" s="1"/>
      <c r="I175" s="1"/>
      <c r="J175" s="9"/>
      <c r="K175" s="1"/>
      <c r="L175" s="1"/>
      <c r="M175" s="9"/>
      <c r="N175" s="1"/>
      <c r="O175" s="1"/>
      <c r="P175" s="9"/>
    </row>
    <row r="176" spans="8:16" ht="13" x14ac:dyDescent="0.15">
      <c r="H176" s="1"/>
      <c r="I176" s="1"/>
      <c r="J176" s="9"/>
      <c r="K176" s="1"/>
      <c r="L176" s="1"/>
      <c r="M176" s="9"/>
      <c r="N176" s="1"/>
      <c r="O176" s="1"/>
      <c r="P176" s="9"/>
    </row>
    <row r="177" spans="8:16" ht="13" x14ac:dyDescent="0.15">
      <c r="H177" s="1"/>
      <c r="I177" s="1"/>
      <c r="J177" s="9"/>
      <c r="K177" s="1"/>
      <c r="L177" s="1"/>
      <c r="M177" s="9"/>
      <c r="N177" s="1"/>
      <c r="O177" s="1"/>
      <c r="P177" s="9"/>
    </row>
    <row r="178" spans="8:16" ht="13" x14ac:dyDescent="0.15">
      <c r="H178" s="1"/>
      <c r="I178" s="1"/>
      <c r="J178" s="9"/>
      <c r="K178" s="1"/>
      <c r="L178" s="1"/>
      <c r="M178" s="9"/>
      <c r="N178" s="1"/>
      <c r="O178" s="1"/>
      <c r="P178" s="9"/>
    </row>
    <row r="179" spans="8:16" ht="13" x14ac:dyDescent="0.15">
      <c r="H179" s="1"/>
      <c r="I179" s="1"/>
      <c r="J179" s="9"/>
      <c r="K179" s="1"/>
      <c r="L179" s="1"/>
      <c r="M179" s="9"/>
      <c r="N179" s="1"/>
      <c r="O179" s="1"/>
      <c r="P179" s="9"/>
    </row>
    <row r="180" spans="8:16" ht="13" x14ac:dyDescent="0.15">
      <c r="H180" s="1"/>
      <c r="I180" s="1"/>
      <c r="J180" s="9"/>
      <c r="K180" s="1"/>
      <c r="L180" s="1"/>
      <c r="M180" s="9"/>
      <c r="N180" s="1"/>
      <c r="O180" s="1"/>
      <c r="P180" s="9"/>
    </row>
    <row r="181" spans="8:16" ht="13" x14ac:dyDescent="0.15">
      <c r="H181" s="1"/>
      <c r="I181" s="1"/>
      <c r="J181" s="9"/>
      <c r="K181" s="1"/>
      <c r="L181" s="1"/>
      <c r="M181" s="9"/>
      <c r="N181" s="1"/>
      <c r="O181" s="1"/>
      <c r="P181" s="9"/>
    </row>
    <row r="182" spans="8:16" ht="13" x14ac:dyDescent="0.15">
      <c r="H182" s="1"/>
      <c r="I182" s="1"/>
      <c r="J182" s="9"/>
      <c r="K182" s="1"/>
      <c r="L182" s="1"/>
      <c r="M182" s="9"/>
      <c r="N182" s="1"/>
      <c r="O182" s="1"/>
      <c r="P182" s="9"/>
    </row>
    <row r="183" spans="8:16" ht="13" x14ac:dyDescent="0.15">
      <c r="H183" s="1"/>
      <c r="I183" s="1"/>
      <c r="J183" s="9"/>
      <c r="K183" s="1"/>
      <c r="L183" s="1"/>
      <c r="M183" s="9"/>
      <c r="N183" s="1"/>
      <c r="O183" s="1"/>
      <c r="P183" s="9"/>
    </row>
    <row r="184" spans="8:16" ht="13" x14ac:dyDescent="0.15">
      <c r="H184" s="1"/>
      <c r="I184" s="1"/>
      <c r="J184" s="9"/>
      <c r="K184" s="1"/>
      <c r="L184" s="1"/>
      <c r="M184" s="9"/>
      <c r="N184" s="1"/>
      <c r="O184" s="1"/>
      <c r="P184" s="9"/>
    </row>
    <row r="185" spans="8:16" ht="13" x14ac:dyDescent="0.15">
      <c r="H185" s="1"/>
      <c r="I185" s="1"/>
      <c r="J185" s="9"/>
      <c r="K185" s="1"/>
      <c r="L185" s="1"/>
      <c r="M185" s="9"/>
      <c r="N185" s="1"/>
      <c r="O185" s="1"/>
      <c r="P185" s="9"/>
    </row>
    <row r="186" spans="8:16" ht="13" x14ac:dyDescent="0.15">
      <c r="H186" s="1"/>
      <c r="I186" s="1"/>
      <c r="J186" s="9"/>
      <c r="K186" s="1"/>
      <c r="L186" s="1"/>
      <c r="M186" s="9"/>
      <c r="N186" s="1"/>
      <c r="O186" s="1"/>
      <c r="P186" s="9"/>
    </row>
    <row r="187" spans="8:16" ht="13" x14ac:dyDescent="0.15">
      <c r="H187" s="1"/>
      <c r="I187" s="1"/>
      <c r="J187" s="9"/>
      <c r="K187" s="1"/>
      <c r="L187" s="1"/>
      <c r="M187" s="9"/>
      <c r="N187" s="1"/>
      <c r="O187" s="1"/>
      <c r="P187" s="9"/>
    </row>
    <row r="188" spans="8:16" ht="13" x14ac:dyDescent="0.15">
      <c r="H188" s="1"/>
      <c r="I188" s="1"/>
      <c r="J188" s="9"/>
      <c r="K188" s="1"/>
      <c r="L188" s="1"/>
      <c r="M188" s="9"/>
      <c r="N188" s="1"/>
      <c r="O188" s="1"/>
      <c r="P188" s="9"/>
    </row>
    <row r="189" spans="8:16" ht="13" x14ac:dyDescent="0.15">
      <c r="H189" s="1"/>
      <c r="I189" s="1"/>
      <c r="J189" s="9"/>
      <c r="K189" s="1"/>
      <c r="L189" s="1"/>
      <c r="M189" s="9"/>
      <c r="N189" s="1"/>
      <c r="O189" s="1"/>
      <c r="P189" s="9"/>
    </row>
    <row r="190" spans="8:16" ht="13" x14ac:dyDescent="0.15">
      <c r="H190" s="1"/>
      <c r="I190" s="1"/>
      <c r="J190" s="9"/>
      <c r="K190" s="1"/>
      <c r="L190" s="1"/>
      <c r="M190" s="9"/>
      <c r="N190" s="1"/>
      <c r="O190" s="1"/>
      <c r="P190" s="9"/>
    </row>
    <row r="191" spans="8:16" ht="13" x14ac:dyDescent="0.15">
      <c r="H191" s="1"/>
      <c r="I191" s="1"/>
      <c r="J191" s="9"/>
      <c r="K191" s="1"/>
      <c r="L191" s="1"/>
      <c r="M191" s="9"/>
      <c r="N191" s="1"/>
      <c r="O191" s="1"/>
      <c r="P191" s="9"/>
    </row>
    <row r="192" spans="8:16" ht="13" x14ac:dyDescent="0.15">
      <c r="H192" s="1"/>
      <c r="I192" s="1"/>
      <c r="J192" s="9"/>
      <c r="K192" s="1"/>
      <c r="L192" s="1"/>
      <c r="M192" s="9"/>
      <c r="N192" s="1"/>
      <c r="O192" s="1"/>
      <c r="P192" s="9"/>
    </row>
    <row r="193" spans="8:16" ht="13" x14ac:dyDescent="0.15">
      <c r="H193" s="1"/>
      <c r="I193" s="1"/>
      <c r="J193" s="9"/>
      <c r="K193" s="1"/>
      <c r="L193" s="1"/>
      <c r="M193" s="9"/>
      <c r="N193" s="1"/>
      <c r="O193" s="1"/>
      <c r="P193" s="9"/>
    </row>
    <row r="194" spans="8:16" ht="13" x14ac:dyDescent="0.15">
      <c r="H194" s="1"/>
      <c r="I194" s="1"/>
      <c r="J194" s="9"/>
      <c r="K194" s="1"/>
      <c r="L194" s="1"/>
      <c r="M194" s="9"/>
      <c r="N194" s="1"/>
      <c r="O194" s="1"/>
      <c r="P194" s="9"/>
    </row>
    <row r="195" spans="8:16" ht="13" x14ac:dyDescent="0.15">
      <c r="H195" s="1"/>
      <c r="I195" s="1"/>
      <c r="J195" s="9"/>
      <c r="K195" s="1"/>
      <c r="L195" s="1"/>
      <c r="M195" s="9"/>
      <c r="N195" s="1"/>
      <c r="O195" s="1"/>
      <c r="P195" s="9"/>
    </row>
    <row r="196" spans="8:16" ht="13" x14ac:dyDescent="0.15">
      <c r="H196" s="1"/>
      <c r="I196" s="1"/>
      <c r="J196" s="9"/>
      <c r="K196" s="1"/>
      <c r="L196" s="1"/>
      <c r="M196" s="9"/>
      <c r="N196" s="1"/>
      <c r="O196" s="1"/>
      <c r="P196" s="9"/>
    </row>
    <row r="197" spans="8:16" ht="13" x14ac:dyDescent="0.15">
      <c r="H197" s="1"/>
      <c r="I197" s="1"/>
      <c r="J197" s="9"/>
      <c r="K197" s="1"/>
      <c r="L197" s="1"/>
      <c r="M197" s="9"/>
      <c r="N197" s="1"/>
      <c r="O197" s="1"/>
      <c r="P197" s="9"/>
    </row>
    <row r="198" spans="8:16" ht="13" x14ac:dyDescent="0.15">
      <c r="H198" s="1"/>
      <c r="I198" s="1"/>
      <c r="J198" s="9"/>
      <c r="K198" s="1"/>
      <c r="L198" s="1"/>
      <c r="M198" s="9"/>
      <c r="N198" s="1"/>
      <c r="O198" s="1"/>
      <c r="P198" s="9"/>
    </row>
    <row r="199" spans="8:16" ht="13" x14ac:dyDescent="0.15">
      <c r="H199" s="1"/>
      <c r="I199" s="1"/>
      <c r="J199" s="9"/>
      <c r="K199" s="1"/>
      <c r="L199" s="1"/>
      <c r="M199" s="9"/>
      <c r="N199" s="1"/>
      <c r="O199" s="1"/>
      <c r="P199" s="9"/>
    </row>
    <row r="200" spans="8:16" ht="13" x14ac:dyDescent="0.15">
      <c r="H200" s="1"/>
      <c r="I200" s="1"/>
      <c r="J200" s="9"/>
      <c r="K200" s="1"/>
      <c r="L200" s="1"/>
      <c r="M200" s="9"/>
      <c r="N200" s="1"/>
      <c r="O200" s="1"/>
      <c r="P200" s="9"/>
    </row>
    <row r="201" spans="8:16" ht="13" x14ac:dyDescent="0.15">
      <c r="H201" s="1"/>
      <c r="I201" s="1"/>
      <c r="J201" s="9"/>
      <c r="K201" s="1"/>
      <c r="L201" s="1"/>
      <c r="M201" s="9"/>
      <c r="N201" s="1"/>
      <c r="O201" s="1"/>
      <c r="P201" s="9"/>
    </row>
    <row r="202" spans="8:16" ht="13" x14ac:dyDescent="0.15">
      <c r="H202" s="1"/>
      <c r="I202" s="1"/>
      <c r="J202" s="9"/>
      <c r="K202" s="1"/>
      <c r="L202" s="1"/>
      <c r="M202" s="9"/>
      <c r="N202" s="1"/>
      <c r="O202" s="1"/>
      <c r="P202" s="9"/>
    </row>
    <row r="203" spans="8:16" ht="13" x14ac:dyDescent="0.15">
      <c r="H203" s="1"/>
      <c r="I203" s="1"/>
      <c r="J203" s="9"/>
      <c r="K203" s="1"/>
      <c r="L203" s="1"/>
      <c r="M203" s="9"/>
      <c r="N203" s="1"/>
      <c r="O203" s="1"/>
      <c r="P203" s="9"/>
    </row>
    <row r="204" spans="8:16" ht="13" x14ac:dyDescent="0.15">
      <c r="H204" s="1"/>
      <c r="I204" s="1"/>
      <c r="J204" s="9"/>
      <c r="K204" s="1"/>
      <c r="L204" s="1"/>
      <c r="M204" s="9"/>
      <c r="N204" s="1"/>
      <c r="O204" s="1"/>
      <c r="P204" s="9"/>
    </row>
    <row r="205" spans="8:16" ht="13" x14ac:dyDescent="0.15">
      <c r="H205" s="1"/>
      <c r="I205" s="1"/>
      <c r="J205" s="9"/>
      <c r="K205" s="1"/>
      <c r="L205" s="1"/>
      <c r="M205" s="9"/>
      <c r="N205" s="1"/>
      <c r="O205" s="1"/>
      <c r="P205" s="9"/>
    </row>
    <row r="206" spans="8:16" ht="13" x14ac:dyDescent="0.15">
      <c r="H206" s="1"/>
      <c r="I206" s="1"/>
      <c r="J206" s="9"/>
      <c r="K206" s="1"/>
      <c r="L206" s="1"/>
      <c r="M206" s="9"/>
      <c r="N206" s="1"/>
      <c r="O206" s="1"/>
      <c r="P206" s="9"/>
    </row>
    <row r="207" spans="8:16" ht="13" x14ac:dyDescent="0.15">
      <c r="H207" s="1"/>
      <c r="I207" s="1"/>
      <c r="J207" s="9"/>
      <c r="K207" s="1"/>
      <c r="L207" s="1"/>
      <c r="M207" s="9"/>
      <c r="N207" s="1"/>
      <c r="O207" s="1"/>
      <c r="P207" s="9"/>
    </row>
    <row r="208" spans="8:16" ht="13" x14ac:dyDescent="0.15">
      <c r="H208" s="1"/>
      <c r="I208" s="1"/>
      <c r="J208" s="9"/>
      <c r="K208" s="1"/>
      <c r="L208" s="1"/>
      <c r="M208" s="9"/>
      <c r="N208" s="1"/>
      <c r="O208" s="1"/>
      <c r="P208" s="9"/>
    </row>
    <row r="209" spans="8:16" ht="13" x14ac:dyDescent="0.15">
      <c r="H209" s="1"/>
      <c r="I209" s="1"/>
      <c r="J209" s="9"/>
      <c r="K209" s="1"/>
      <c r="L209" s="1"/>
      <c r="M209" s="9"/>
      <c r="N209" s="1"/>
      <c r="O209" s="1"/>
      <c r="P209" s="9"/>
    </row>
    <row r="210" spans="8:16" ht="13" x14ac:dyDescent="0.15">
      <c r="H210" s="1"/>
      <c r="I210" s="1"/>
      <c r="J210" s="9"/>
      <c r="K210" s="1"/>
      <c r="L210" s="1"/>
      <c r="M210" s="9"/>
      <c r="N210" s="1"/>
      <c r="O210" s="1"/>
      <c r="P210" s="9"/>
    </row>
    <row r="211" spans="8:16" ht="13" x14ac:dyDescent="0.15">
      <c r="H211" s="1"/>
      <c r="I211" s="1"/>
      <c r="J211" s="9"/>
      <c r="K211" s="1"/>
      <c r="L211" s="1"/>
      <c r="M211" s="9"/>
      <c r="N211" s="1"/>
      <c r="O211" s="1"/>
      <c r="P211" s="9"/>
    </row>
    <row r="212" spans="8:16" ht="13" x14ac:dyDescent="0.15">
      <c r="H212" s="1"/>
      <c r="I212" s="1"/>
      <c r="J212" s="9"/>
      <c r="K212" s="1"/>
      <c r="L212" s="1"/>
      <c r="M212" s="9"/>
      <c r="N212" s="1"/>
      <c r="O212" s="1"/>
      <c r="P212" s="9"/>
    </row>
    <row r="213" spans="8:16" ht="13" x14ac:dyDescent="0.15">
      <c r="H213" s="1"/>
      <c r="I213" s="1"/>
      <c r="J213" s="9"/>
      <c r="K213" s="1"/>
      <c r="L213" s="1"/>
      <c r="M213" s="9"/>
      <c r="N213" s="1"/>
      <c r="O213" s="1"/>
      <c r="P213" s="9"/>
    </row>
    <row r="214" spans="8:16" ht="13" x14ac:dyDescent="0.15">
      <c r="H214" s="1"/>
      <c r="I214" s="1"/>
      <c r="J214" s="9"/>
      <c r="K214" s="1"/>
      <c r="L214" s="1"/>
      <c r="M214" s="9"/>
      <c r="N214" s="1"/>
      <c r="O214" s="1"/>
      <c r="P214" s="9"/>
    </row>
    <row r="215" spans="8:16" ht="13" x14ac:dyDescent="0.15">
      <c r="H215" s="1"/>
      <c r="I215" s="1"/>
      <c r="J215" s="9"/>
      <c r="K215" s="1"/>
      <c r="L215" s="1"/>
      <c r="M215" s="9"/>
      <c r="N215" s="1"/>
      <c r="O215" s="1"/>
      <c r="P215" s="9"/>
    </row>
    <row r="216" spans="8:16" ht="13" x14ac:dyDescent="0.15">
      <c r="H216" s="1"/>
      <c r="I216" s="1"/>
      <c r="J216" s="9"/>
      <c r="K216" s="1"/>
      <c r="L216" s="1"/>
      <c r="M216" s="9"/>
      <c r="N216" s="1"/>
      <c r="O216" s="1"/>
      <c r="P216" s="9"/>
    </row>
    <row r="217" spans="8:16" ht="13" x14ac:dyDescent="0.15">
      <c r="H217" s="1"/>
      <c r="I217" s="1"/>
      <c r="J217" s="9"/>
      <c r="K217" s="1"/>
      <c r="L217" s="1"/>
      <c r="M217" s="9"/>
      <c r="N217" s="1"/>
      <c r="O217" s="1"/>
      <c r="P217" s="9"/>
    </row>
    <row r="218" spans="8:16" ht="13" x14ac:dyDescent="0.15">
      <c r="H218" s="1"/>
      <c r="I218" s="1"/>
      <c r="J218" s="9"/>
      <c r="K218" s="1"/>
      <c r="L218" s="1"/>
      <c r="M218" s="9"/>
      <c r="N218" s="1"/>
      <c r="O218" s="1"/>
      <c r="P218" s="9"/>
    </row>
    <row r="219" spans="8:16" ht="13" x14ac:dyDescent="0.15">
      <c r="H219" s="1"/>
      <c r="I219" s="1"/>
      <c r="J219" s="9"/>
      <c r="K219" s="1"/>
      <c r="L219" s="1"/>
      <c r="M219" s="9"/>
      <c r="N219" s="1"/>
      <c r="O219" s="1"/>
      <c r="P219" s="9"/>
    </row>
    <row r="220" spans="8:16" ht="13" x14ac:dyDescent="0.15">
      <c r="H220" s="1"/>
      <c r="I220" s="1"/>
      <c r="J220" s="9"/>
      <c r="K220" s="1"/>
      <c r="L220" s="1"/>
      <c r="M220" s="9"/>
      <c r="N220" s="1"/>
      <c r="O220" s="1"/>
      <c r="P220" s="9"/>
    </row>
    <row r="221" spans="8:16" ht="13" x14ac:dyDescent="0.15">
      <c r="H221" s="1"/>
      <c r="I221" s="1"/>
      <c r="J221" s="9"/>
      <c r="K221" s="1"/>
      <c r="L221" s="1"/>
      <c r="M221" s="9"/>
      <c r="N221" s="1"/>
      <c r="O221" s="1"/>
      <c r="P221" s="9"/>
    </row>
    <row r="222" spans="8:16" ht="13" x14ac:dyDescent="0.15">
      <c r="H222" s="1"/>
      <c r="I222" s="1"/>
      <c r="J222" s="9"/>
      <c r="K222" s="1"/>
      <c r="L222" s="1"/>
      <c r="M222" s="9"/>
      <c r="N222" s="1"/>
      <c r="O222" s="1"/>
      <c r="P222" s="9"/>
    </row>
    <row r="223" spans="8:16" ht="13" x14ac:dyDescent="0.15">
      <c r="H223" s="1"/>
      <c r="I223" s="1"/>
      <c r="J223" s="9"/>
      <c r="K223" s="1"/>
      <c r="L223" s="1"/>
      <c r="M223" s="9"/>
      <c r="N223" s="1"/>
      <c r="O223" s="1"/>
      <c r="P223" s="9"/>
    </row>
    <row r="224" spans="8:16" ht="13" x14ac:dyDescent="0.15">
      <c r="H224" s="1"/>
      <c r="I224" s="1"/>
      <c r="J224" s="9"/>
      <c r="K224" s="1"/>
      <c r="L224" s="1"/>
      <c r="M224" s="9"/>
      <c r="N224" s="1"/>
      <c r="O224" s="1"/>
      <c r="P224" s="9"/>
    </row>
    <row r="225" spans="8:16" ht="13" x14ac:dyDescent="0.15">
      <c r="H225" s="1"/>
      <c r="I225" s="1"/>
      <c r="J225" s="9"/>
      <c r="K225" s="1"/>
      <c r="L225" s="1"/>
      <c r="M225" s="9"/>
      <c r="N225" s="1"/>
      <c r="O225" s="1"/>
      <c r="P225" s="9"/>
    </row>
    <row r="226" spans="8:16" ht="13" x14ac:dyDescent="0.15">
      <c r="H226" s="1"/>
      <c r="I226" s="1"/>
      <c r="J226" s="9"/>
      <c r="K226" s="1"/>
      <c r="L226" s="1"/>
      <c r="M226" s="9"/>
      <c r="N226" s="1"/>
      <c r="O226" s="1"/>
      <c r="P226" s="9"/>
    </row>
    <row r="227" spans="8:16" ht="13" x14ac:dyDescent="0.15">
      <c r="H227" s="1"/>
      <c r="I227" s="1"/>
      <c r="J227" s="9"/>
      <c r="K227" s="1"/>
      <c r="L227" s="1"/>
      <c r="M227" s="9"/>
      <c r="N227" s="1"/>
      <c r="O227" s="1"/>
      <c r="P227" s="9"/>
    </row>
    <row r="228" spans="8:16" ht="13" x14ac:dyDescent="0.15">
      <c r="H228" s="1"/>
      <c r="I228" s="1"/>
      <c r="J228" s="9"/>
      <c r="K228" s="1"/>
      <c r="L228" s="1"/>
      <c r="M228" s="9"/>
      <c r="N228" s="1"/>
      <c r="O228" s="1"/>
      <c r="P228" s="9"/>
    </row>
    <row r="229" spans="8:16" ht="13" x14ac:dyDescent="0.15">
      <c r="H229" s="1"/>
      <c r="I229" s="1"/>
      <c r="J229" s="9"/>
      <c r="K229" s="1"/>
      <c r="L229" s="1"/>
      <c r="M229" s="9"/>
      <c r="N229" s="1"/>
      <c r="O229" s="1"/>
      <c r="P229" s="9"/>
    </row>
    <row r="230" spans="8:16" ht="13" x14ac:dyDescent="0.15">
      <c r="H230" s="1"/>
      <c r="I230" s="1"/>
      <c r="J230" s="9"/>
      <c r="K230" s="1"/>
      <c r="L230" s="1"/>
      <c r="M230" s="9"/>
      <c r="N230" s="1"/>
      <c r="O230" s="1"/>
      <c r="P230" s="9"/>
    </row>
    <row r="231" spans="8:16" ht="13" x14ac:dyDescent="0.15">
      <c r="H231" s="1"/>
      <c r="I231" s="1"/>
      <c r="J231" s="9"/>
      <c r="K231" s="1"/>
      <c r="L231" s="1"/>
      <c r="M231" s="9"/>
      <c r="N231" s="1"/>
      <c r="O231" s="1"/>
      <c r="P231" s="9"/>
    </row>
    <row r="232" spans="8:16" ht="13" x14ac:dyDescent="0.15">
      <c r="H232" s="1"/>
      <c r="I232" s="1"/>
      <c r="J232" s="9"/>
      <c r="K232" s="1"/>
      <c r="L232" s="1"/>
      <c r="M232" s="9"/>
      <c r="N232" s="1"/>
      <c r="O232" s="1"/>
      <c r="P232" s="9"/>
    </row>
    <row r="233" spans="8:16" ht="13" x14ac:dyDescent="0.15">
      <c r="H233" s="1"/>
      <c r="I233" s="1"/>
      <c r="J233" s="9"/>
      <c r="K233" s="1"/>
      <c r="L233" s="1"/>
      <c r="M233" s="9"/>
      <c r="N233" s="1"/>
      <c r="O233" s="1"/>
      <c r="P233" s="9"/>
    </row>
    <row r="234" spans="8:16" ht="13" x14ac:dyDescent="0.15">
      <c r="H234" s="1"/>
      <c r="I234" s="1"/>
      <c r="J234" s="9"/>
      <c r="K234" s="1"/>
      <c r="L234" s="1"/>
      <c r="M234" s="9"/>
      <c r="N234" s="1"/>
      <c r="O234" s="1"/>
      <c r="P234" s="9"/>
    </row>
    <row r="235" spans="8:16" ht="13" x14ac:dyDescent="0.15">
      <c r="H235" s="1"/>
      <c r="I235" s="1"/>
      <c r="J235" s="9"/>
      <c r="K235" s="1"/>
      <c r="L235" s="1"/>
      <c r="M235" s="9"/>
      <c r="N235" s="1"/>
      <c r="O235" s="1"/>
      <c r="P235" s="9"/>
    </row>
    <row r="236" spans="8:16" ht="13" x14ac:dyDescent="0.15">
      <c r="H236" s="1"/>
      <c r="I236" s="1"/>
      <c r="J236" s="9"/>
      <c r="K236" s="1"/>
      <c r="L236" s="1"/>
      <c r="M236" s="9"/>
      <c r="N236" s="1"/>
      <c r="O236" s="1"/>
      <c r="P236" s="9"/>
    </row>
    <row r="237" spans="8:16" ht="13" x14ac:dyDescent="0.15">
      <c r="H237" s="1"/>
      <c r="I237" s="1"/>
      <c r="J237" s="9"/>
      <c r="K237" s="1"/>
      <c r="L237" s="1"/>
      <c r="M237" s="9"/>
      <c r="N237" s="1"/>
      <c r="O237" s="1"/>
      <c r="P237" s="9"/>
    </row>
    <row r="238" spans="8:16" ht="13" x14ac:dyDescent="0.15">
      <c r="H238" s="1"/>
      <c r="I238" s="1"/>
      <c r="J238" s="9"/>
      <c r="K238" s="1"/>
      <c r="L238" s="1"/>
      <c r="M238" s="9"/>
      <c r="N238" s="1"/>
      <c r="O238" s="1"/>
      <c r="P238" s="9"/>
    </row>
    <row r="239" spans="8:16" ht="13" x14ac:dyDescent="0.15">
      <c r="H239" s="1"/>
      <c r="I239" s="1"/>
      <c r="J239" s="9"/>
      <c r="K239" s="1"/>
      <c r="L239" s="1"/>
      <c r="M239" s="9"/>
      <c r="N239" s="1"/>
      <c r="O239" s="1"/>
      <c r="P239" s="9"/>
    </row>
    <row r="240" spans="8:16" ht="13" x14ac:dyDescent="0.15">
      <c r="H240" s="1"/>
      <c r="I240" s="1"/>
      <c r="J240" s="9"/>
      <c r="K240" s="1"/>
      <c r="L240" s="1"/>
      <c r="M240" s="9"/>
      <c r="N240" s="1"/>
      <c r="O240" s="1"/>
      <c r="P240" s="9"/>
    </row>
    <row r="241" spans="8:16" ht="13" x14ac:dyDescent="0.15">
      <c r="H241" s="1"/>
      <c r="I241" s="1"/>
      <c r="J241" s="9"/>
      <c r="K241" s="1"/>
      <c r="L241" s="1"/>
      <c r="M241" s="9"/>
      <c r="N241" s="1"/>
      <c r="O241" s="1"/>
      <c r="P241" s="9"/>
    </row>
    <row r="242" spans="8:16" ht="13" x14ac:dyDescent="0.15">
      <c r="H242" s="1"/>
      <c r="I242" s="1"/>
      <c r="J242" s="9"/>
      <c r="K242" s="1"/>
      <c r="L242" s="1"/>
      <c r="M242" s="9"/>
      <c r="N242" s="1"/>
      <c r="O242" s="1"/>
      <c r="P242" s="9"/>
    </row>
    <row r="243" spans="8:16" ht="13" x14ac:dyDescent="0.15">
      <c r="H243" s="1"/>
      <c r="I243" s="1"/>
      <c r="J243" s="9"/>
      <c r="K243" s="1"/>
      <c r="L243" s="1"/>
      <c r="M243" s="9"/>
      <c r="N243" s="1"/>
      <c r="O243" s="1"/>
      <c r="P243" s="9"/>
    </row>
    <row r="244" spans="8:16" ht="13" x14ac:dyDescent="0.15">
      <c r="H244" s="1"/>
      <c r="I244" s="1"/>
      <c r="J244" s="9"/>
      <c r="K244" s="1"/>
      <c r="L244" s="1"/>
      <c r="M244" s="9"/>
      <c r="N244" s="1"/>
      <c r="O244" s="1"/>
      <c r="P244" s="9"/>
    </row>
    <row r="245" spans="8:16" ht="13" x14ac:dyDescent="0.15">
      <c r="H245" s="1"/>
      <c r="I245" s="1"/>
      <c r="J245" s="9"/>
      <c r="K245" s="1"/>
      <c r="L245" s="1"/>
      <c r="M245" s="9"/>
      <c r="N245" s="1"/>
      <c r="O245" s="1"/>
      <c r="P245" s="9"/>
    </row>
    <row r="246" spans="8:16" ht="13" x14ac:dyDescent="0.15">
      <c r="H246" s="1"/>
      <c r="I246" s="1"/>
      <c r="J246" s="9"/>
      <c r="K246" s="1"/>
      <c r="L246" s="1"/>
      <c r="M246" s="9"/>
      <c r="N246" s="1"/>
      <c r="O246" s="1"/>
      <c r="P246" s="9"/>
    </row>
    <row r="247" spans="8:16" ht="13" x14ac:dyDescent="0.15">
      <c r="H247" s="1"/>
      <c r="I247" s="1"/>
      <c r="J247" s="9"/>
      <c r="K247" s="1"/>
      <c r="L247" s="1"/>
      <c r="M247" s="9"/>
      <c r="N247" s="1"/>
      <c r="O247" s="1"/>
      <c r="P247" s="9"/>
    </row>
    <row r="248" spans="8:16" ht="13" x14ac:dyDescent="0.15">
      <c r="H248" s="1"/>
      <c r="I248" s="1"/>
      <c r="J248" s="9"/>
      <c r="K248" s="1"/>
      <c r="L248" s="1"/>
      <c r="M248" s="9"/>
      <c r="N248" s="1"/>
      <c r="O248" s="1"/>
      <c r="P248" s="9"/>
    </row>
    <row r="249" spans="8:16" ht="13" x14ac:dyDescent="0.15">
      <c r="H249" s="1"/>
      <c r="I249" s="1"/>
      <c r="J249" s="9"/>
      <c r="K249" s="1"/>
      <c r="L249" s="1"/>
      <c r="M249" s="9"/>
      <c r="N249" s="1"/>
      <c r="O249" s="1"/>
      <c r="P249" s="9"/>
    </row>
    <row r="250" spans="8:16" ht="13" x14ac:dyDescent="0.15">
      <c r="H250" s="1"/>
      <c r="I250" s="1"/>
      <c r="J250" s="9"/>
      <c r="K250" s="1"/>
      <c r="L250" s="1"/>
      <c r="M250" s="9"/>
      <c r="N250" s="1"/>
      <c r="O250" s="1"/>
      <c r="P250" s="9"/>
    </row>
    <row r="251" spans="8:16" ht="13" x14ac:dyDescent="0.15">
      <c r="H251" s="1"/>
      <c r="I251" s="1"/>
      <c r="J251" s="9"/>
      <c r="K251" s="1"/>
      <c r="L251" s="1"/>
      <c r="M251" s="9"/>
      <c r="N251" s="1"/>
      <c r="O251" s="1"/>
      <c r="P251" s="9"/>
    </row>
    <row r="252" spans="8:16" ht="13" x14ac:dyDescent="0.15">
      <c r="H252" s="1"/>
      <c r="I252" s="1"/>
      <c r="J252" s="9"/>
      <c r="K252" s="1"/>
      <c r="L252" s="1"/>
      <c r="M252" s="9"/>
      <c r="N252" s="1"/>
      <c r="O252" s="1"/>
      <c r="P252" s="9"/>
    </row>
    <row r="253" spans="8:16" ht="13" x14ac:dyDescent="0.15">
      <c r="H253" s="1"/>
      <c r="I253" s="1"/>
      <c r="J253" s="9"/>
      <c r="K253" s="1"/>
      <c r="L253" s="1"/>
      <c r="M253" s="9"/>
      <c r="N253" s="1"/>
      <c r="O253" s="1"/>
      <c r="P253" s="9"/>
    </row>
    <row r="254" spans="8:16" ht="13" x14ac:dyDescent="0.15">
      <c r="H254" s="1"/>
      <c r="I254" s="1"/>
      <c r="J254" s="9"/>
      <c r="K254" s="1"/>
      <c r="L254" s="1"/>
      <c r="M254" s="9"/>
      <c r="N254" s="1"/>
      <c r="O254" s="1"/>
      <c r="P254" s="9"/>
    </row>
    <row r="255" spans="8:16" ht="13" x14ac:dyDescent="0.15">
      <c r="H255" s="1"/>
      <c r="I255" s="1"/>
      <c r="J255" s="9"/>
      <c r="K255" s="1"/>
      <c r="L255" s="1"/>
      <c r="M255" s="9"/>
      <c r="N255" s="1"/>
      <c r="O255" s="1"/>
      <c r="P255" s="9"/>
    </row>
    <row r="256" spans="8:16" ht="13" x14ac:dyDescent="0.15">
      <c r="H256" s="1"/>
      <c r="I256" s="1"/>
      <c r="J256" s="9"/>
      <c r="K256" s="1"/>
      <c r="L256" s="1"/>
      <c r="M256" s="9"/>
      <c r="N256" s="1"/>
      <c r="O256" s="1"/>
      <c r="P256" s="9"/>
    </row>
    <row r="257" spans="8:16" ht="13" x14ac:dyDescent="0.15">
      <c r="H257" s="1"/>
      <c r="I257" s="1"/>
      <c r="J257" s="9"/>
      <c r="K257" s="1"/>
      <c r="L257" s="1"/>
      <c r="M257" s="9"/>
      <c r="N257" s="1"/>
      <c r="O257" s="1"/>
      <c r="P257" s="9"/>
    </row>
    <row r="258" spans="8:16" ht="13" x14ac:dyDescent="0.15">
      <c r="H258" s="1"/>
      <c r="I258" s="1"/>
      <c r="J258" s="9"/>
      <c r="K258" s="1"/>
      <c r="L258" s="1"/>
      <c r="M258" s="9"/>
      <c r="N258" s="1"/>
      <c r="O258" s="1"/>
      <c r="P258" s="9"/>
    </row>
    <row r="259" spans="8:16" ht="13" x14ac:dyDescent="0.15">
      <c r="H259" s="1"/>
      <c r="I259" s="1"/>
      <c r="J259" s="9"/>
      <c r="K259" s="1"/>
      <c r="L259" s="1"/>
      <c r="M259" s="9"/>
      <c r="N259" s="1"/>
      <c r="O259" s="1"/>
      <c r="P259" s="9"/>
    </row>
    <row r="260" spans="8:16" ht="13" x14ac:dyDescent="0.15">
      <c r="H260" s="1"/>
      <c r="I260" s="1"/>
      <c r="J260" s="9"/>
      <c r="K260" s="1"/>
      <c r="L260" s="1"/>
      <c r="M260" s="9"/>
      <c r="N260" s="1"/>
      <c r="O260" s="1"/>
      <c r="P260" s="9"/>
    </row>
    <row r="261" spans="8:16" ht="13" x14ac:dyDescent="0.15">
      <c r="H261" s="1"/>
      <c r="I261" s="1"/>
      <c r="J261" s="9"/>
      <c r="K261" s="1"/>
      <c r="L261" s="1"/>
      <c r="M261" s="9"/>
      <c r="N261" s="1"/>
      <c r="O261" s="1"/>
      <c r="P261" s="9"/>
    </row>
    <row r="262" spans="8:16" ht="13" x14ac:dyDescent="0.15">
      <c r="H262" s="1"/>
      <c r="I262" s="1"/>
      <c r="J262" s="9"/>
      <c r="K262" s="1"/>
      <c r="L262" s="1"/>
      <c r="M262" s="9"/>
      <c r="N262" s="1"/>
      <c r="O262" s="1"/>
      <c r="P262" s="9"/>
    </row>
    <row r="263" spans="8:16" ht="13" x14ac:dyDescent="0.15">
      <c r="H263" s="1"/>
      <c r="I263" s="1"/>
      <c r="J263" s="9"/>
      <c r="K263" s="1"/>
      <c r="L263" s="1"/>
      <c r="M263" s="9"/>
      <c r="N263" s="1"/>
      <c r="O263" s="1"/>
      <c r="P263" s="9"/>
    </row>
    <row r="264" spans="8:16" ht="13" x14ac:dyDescent="0.15">
      <c r="H264" s="1"/>
      <c r="I264" s="1"/>
      <c r="J264" s="9"/>
      <c r="K264" s="1"/>
      <c r="L264" s="1"/>
      <c r="M264" s="9"/>
      <c r="N264" s="1"/>
      <c r="O264" s="1"/>
      <c r="P264" s="9"/>
    </row>
    <row r="265" spans="8:16" ht="13" x14ac:dyDescent="0.15">
      <c r="H265" s="1"/>
      <c r="I265" s="1"/>
      <c r="J265" s="9"/>
      <c r="K265" s="1"/>
      <c r="L265" s="1"/>
      <c r="M265" s="9"/>
      <c r="N265" s="1"/>
      <c r="O265" s="1"/>
      <c r="P265" s="9"/>
    </row>
    <row r="266" spans="8:16" ht="13" x14ac:dyDescent="0.15">
      <c r="H266" s="1"/>
      <c r="I266" s="1"/>
      <c r="J266" s="9"/>
      <c r="K266" s="1"/>
      <c r="L266" s="1"/>
      <c r="M266" s="9"/>
      <c r="N266" s="1"/>
      <c r="O266" s="1"/>
      <c r="P266" s="9"/>
    </row>
    <row r="267" spans="8:16" ht="13" x14ac:dyDescent="0.15">
      <c r="H267" s="1"/>
      <c r="I267" s="1"/>
      <c r="J267" s="9"/>
      <c r="K267" s="1"/>
      <c r="L267" s="1"/>
      <c r="M267" s="9"/>
      <c r="N267" s="1"/>
      <c r="O267" s="1"/>
      <c r="P267" s="9"/>
    </row>
    <row r="268" spans="8:16" ht="13" x14ac:dyDescent="0.15">
      <c r="H268" s="1"/>
      <c r="I268" s="1"/>
      <c r="J268" s="9"/>
      <c r="K268" s="1"/>
      <c r="L268" s="1"/>
      <c r="M268" s="9"/>
      <c r="N268" s="1"/>
      <c r="O268" s="1"/>
      <c r="P268" s="9"/>
    </row>
    <row r="269" spans="8:16" ht="13" x14ac:dyDescent="0.15">
      <c r="H269" s="1"/>
      <c r="I269" s="1"/>
      <c r="J269" s="9"/>
      <c r="K269" s="1"/>
      <c r="L269" s="1"/>
      <c r="M269" s="9"/>
      <c r="N269" s="1"/>
      <c r="O269" s="1"/>
      <c r="P269" s="9"/>
    </row>
    <row r="270" spans="8:16" ht="13" x14ac:dyDescent="0.15">
      <c r="H270" s="1"/>
      <c r="I270" s="1"/>
      <c r="J270" s="9"/>
      <c r="K270" s="1"/>
      <c r="L270" s="1"/>
      <c r="M270" s="9"/>
      <c r="N270" s="1"/>
      <c r="O270" s="1"/>
      <c r="P270" s="9"/>
    </row>
    <row r="271" spans="8:16" ht="13" x14ac:dyDescent="0.15">
      <c r="H271" s="1"/>
      <c r="I271" s="1"/>
      <c r="J271" s="9"/>
      <c r="K271" s="1"/>
      <c r="L271" s="1"/>
      <c r="M271" s="9"/>
      <c r="N271" s="1"/>
      <c r="O271" s="1"/>
      <c r="P271" s="9"/>
    </row>
    <row r="272" spans="8:16" ht="13" x14ac:dyDescent="0.15">
      <c r="H272" s="1"/>
      <c r="I272" s="1"/>
      <c r="J272" s="9"/>
      <c r="K272" s="1"/>
      <c r="L272" s="1"/>
      <c r="M272" s="9"/>
      <c r="N272" s="1"/>
      <c r="O272" s="1"/>
      <c r="P272" s="9"/>
    </row>
    <row r="273" spans="8:16" ht="13" x14ac:dyDescent="0.15">
      <c r="H273" s="1"/>
      <c r="I273" s="1"/>
      <c r="J273" s="9"/>
      <c r="K273" s="1"/>
      <c r="L273" s="1"/>
      <c r="M273" s="9"/>
      <c r="N273" s="1"/>
      <c r="O273" s="1"/>
      <c r="P273" s="9"/>
    </row>
    <row r="274" spans="8:16" ht="13" x14ac:dyDescent="0.15">
      <c r="H274" s="1"/>
      <c r="I274" s="1"/>
      <c r="J274" s="9"/>
      <c r="K274" s="1"/>
      <c r="L274" s="1"/>
      <c r="M274" s="9"/>
      <c r="N274" s="1"/>
      <c r="O274" s="1"/>
      <c r="P274" s="9"/>
    </row>
    <row r="275" spans="8:16" ht="13" x14ac:dyDescent="0.15">
      <c r="H275" s="1"/>
      <c r="I275" s="1"/>
      <c r="J275" s="9"/>
      <c r="K275" s="1"/>
      <c r="L275" s="1"/>
      <c r="M275" s="9"/>
      <c r="N275" s="1"/>
      <c r="O275" s="1"/>
      <c r="P275" s="9"/>
    </row>
    <row r="276" spans="8:16" ht="13" x14ac:dyDescent="0.15">
      <c r="H276" s="1"/>
      <c r="I276" s="1"/>
      <c r="J276" s="9"/>
      <c r="K276" s="1"/>
      <c r="L276" s="1"/>
      <c r="M276" s="9"/>
      <c r="N276" s="1"/>
      <c r="O276" s="1"/>
      <c r="P276" s="9"/>
    </row>
    <row r="277" spans="8:16" ht="13" x14ac:dyDescent="0.15">
      <c r="H277" s="1"/>
      <c r="I277" s="1"/>
      <c r="J277" s="9"/>
      <c r="K277" s="1"/>
      <c r="L277" s="1"/>
      <c r="M277" s="9"/>
      <c r="N277" s="1"/>
      <c r="O277" s="1"/>
      <c r="P277" s="9"/>
    </row>
    <row r="278" spans="8:16" ht="13" x14ac:dyDescent="0.15">
      <c r="H278" s="1"/>
      <c r="I278" s="1"/>
      <c r="J278" s="9"/>
      <c r="K278" s="1"/>
      <c r="L278" s="1"/>
      <c r="M278" s="9"/>
      <c r="N278" s="1"/>
      <c r="O278" s="1"/>
      <c r="P278" s="9"/>
    </row>
    <row r="279" spans="8:16" ht="13" x14ac:dyDescent="0.15">
      <c r="H279" s="1"/>
      <c r="I279" s="1"/>
      <c r="J279" s="9"/>
      <c r="K279" s="1"/>
      <c r="L279" s="1"/>
      <c r="M279" s="9"/>
      <c r="N279" s="1"/>
      <c r="O279" s="1"/>
      <c r="P279" s="9"/>
    </row>
    <row r="280" spans="8:16" ht="13" x14ac:dyDescent="0.15">
      <c r="H280" s="1"/>
      <c r="I280" s="1"/>
      <c r="J280" s="9"/>
      <c r="K280" s="1"/>
      <c r="L280" s="1"/>
      <c r="M280" s="9"/>
      <c r="N280" s="1"/>
      <c r="O280" s="1"/>
      <c r="P280" s="9"/>
    </row>
    <row r="281" spans="8:16" ht="13" x14ac:dyDescent="0.15">
      <c r="H281" s="1"/>
      <c r="I281" s="1"/>
      <c r="J281" s="9"/>
      <c r="K281" s="1"/>
      <c r="L281" s="1"/>
      <c r="M281" s="9"/>
      <c r="N281" s="1"/>
      <c r="O281" s="1"/>
      <c r="P281" s="9"/>
    </row>
    <row r="282" spans="8:16" ht="13" x14ac:dyDescent="0.15">
      <c r="H282" s="1"/>
      <c r="I282" s="1"/>
      <c r="J282" s="9"/>
      <c r="K282" s="1"/>
      <c r="L282" s="1"/>
      <c r="M282" s="9"/>
      <c r="N282" s="1"/>
      <c r="O282" s="1"/>
      <c r="P282" s="9"/>
    </row>
    <row r="283" spans="8:16" ht="13" x14ac:dyDescent="0.15">
      <c r="H283" s="1"/>
      <c r="I283" s="1"/>
      <c r="J283" s="9"/>
      <c r="K283" s="1"/>
      <c r="L283" s="1"/>
      <c r="M283" s="9"/>
      <c r="N283" s="1"/>
      <c r="O283" s="1"/>
      <c r="P283" s="9"/>
    </row>
    <row r="284" spans="8:16" ht="13" x14ac:dyDescent="0.15">
      <c r="H284" s="1"/>
      <c r="I284" s="1"/>
      <c r="J284" s="9"/>
      <c r="K284" s="1"/>
      <c r="L284" s="1"/>
      <c r="M284" s="9"/>
      <c r="N284" s="1"/>
      <c r="O284" s="1"/>
      <c r="P284" s="9"/>
    </row>
    <row r="285" spans="8:16" ht="13" x14ac:dyDescent="0.15">
      <c r="H285" s="1"/>
      <c r="I285" s="1"/>
      <c r="J285" s="9"/>
      <c r="K285" s="1"/>
      <c r="L285" s="1"/>
      <c r="M285" s="9"/>
      <c r="N285" s="1"/>
      <c r="O285" s="1"/>
      <c r="P285" s="9"/>
    </row>
    <row r="286" spans="8:16" ht="13" x14ac:dyDescent="0.15">
      <c r="H286" s="1"/>
      <c r="I286" s="1"/>
      <c r="J286" s="9"/>
      <c r="K286" s="1"/>
      <c r="L286" s="1"/>
      <c r="M286" s="9"/>
      <c r="N286" s="1"/>
      <c r="O286" s="1"/>
      <c r="P286" s="9"/>
    </row>
    <row r="287" spans="8:16" ht="13" x14ac:dyDescent="0.15">
      <c r="H287" s="1"/>
      <c r="I287" s="1"/>
      <c r="J287" s="9"/>
      <c r="K287" s="1"/>
      <c r="L287" s="1"/>
      <c r="M287" s="9"/>
      <c r="N287" s="1"/>
      <c r="O287" s="1"/>
      <c r="P287" s="9"/>
    </row>
    <row r="288" spans="8:16" ht="13" x14ac:dyDescent="0.15">
      <c r="H288" s="1"/>
      <c r="I288" s="1"/>
      <c r="J288" s="9"/>
      <c r="K288" s="1"/>
      <c r="L288" s="1"/>
      <c r="M288" s="9"/>
      <c r="N288" s="1"/>
      <c r="O288" s="1"/>
      <c r="P288" s="9"/>
    </row>
    <row r="289" spans="8:16" ht="13" x14ac:dyDescent="0.15">
      <c r="H289" s="1"/>
      <c r="I289" s="1"/>
      <c r="J289" s="9"/>
      <c r="K289" s="1"/>
      <c r="L289" s="1"/>
      <c r="M289" s="9"/>
      <c r="N289" s="1"/>
      <c r="O289" s="1"/>
      <c r="P289" s="9"/>
    </row>
    <row r="290" spans="8:16" ht="13" x14ac:dyDescent="0.15">
      <c r="H290" s="1"/>
      <c r="I290" s="1"/>
      <c r="J290" s="9"/>
      <c r="K290" s="1"/>
      <c r="L290" s="1"/>
      <c r="M290" s="9"/>
      <c r="N290" s="1"/>
      <c r="O290" s="1"/>
      <c r="P290" s="9"/>
    </row>
    <row r="291" spans="8:16" ht="13" x14ac:dyDescent="0.15">
      <c r="H291" s="1"/>
      <c r="I291" s="1"/>
      <c r="J291" s="9"/>
      <c r="K291" s="1"/>
      <c r="L291" s="1"/>
      <c r="M291" s="9"/>
      <c r="N291" s="1"/>
      <c r="O291" s="1"/>
      <c r="P291" s="9"/>
    </row>
    <row r="292" spans="8:16" ht="13" x14ac:dyDescent="0.15">
      <c r="H292" s="1"/>
      <c r="I292" s="1"/>
      <c r="J292" s="9"/>
      <c r="K292" s="1"/>
      <c r="L292" s="1"/>
      <c r="M292" s="9"/>
      <c r="N292" s="1"/>
      <c r="O292" s="1"/>
      <c r="P292" s="9"/>
    </row>
    <row r="293" spans="8:16" ht="13" x14ac:dyDescent="0.15">
      <c r="H293" s="1"/>
      <c r="I293" s="1"/>
      <c r="J293" s="9"/>
      <c r="K293" s="1"/>
      <c r="L293" s="1"/>
      <c r="M293" s="9"/>
      <c r="N293" s="1"/>
      <c r="O293" s="1"/>
      <c r="P293" s="9"/>
    </row>
    <row r="294" spans="8:16" ht="13" x14ac:dyDescent="0.15">
      <c r="H294" s="1"/>
      <c r="I294" s="1"/>
      <c r="J294" s="9"/>
      <c r="K294" s="1"/>
      <c r="L294" s="1"/>
      <c r="M294" s="9"/>
      <c r="N294" s="1"/>
      <c r="O294" s="1"/>
      <c r="P294" s="9"/>
    </row>
    <row r="295" spans="8:16" ht="13" x14ac:dyDescent="0.15">
      <c r="H295" s="1"/>
      <c r="I295" s="1"/>
      <c r="J295" s="9"/>
      <c r="K295" s="1"/>
      <c r="L295" s="1"/>
      <c r="M295" s="9"/>
      <c r="N295" s="1"/>
      <c r="O295" s="1"/>
      <c r="P295" s="9"/>
    </row>
    <row r="296" spans="8:16" ht="13" x14ac:dyDescent="0.15">
      <c r="H296" s="1"/>
      <c r="I296" s="1"/>
      <c r="J296" s="9"/>
      <c r="K296" s="1"/>
      <c r="L296" s="1"/>
      <c r="M296" s="9"/>
      <c r="N296" s="1"/>
      <c r="O296" s="1"/>
      <c r="P296" s="9"/>
    </row>
    <row r="297" spans="8:16" ht="13" x14ac:dyDescent="0.15">
      <c r="H297" s="1"/>
      <c r="I297" s="1"/>
      <c r="J297" s="9"/>
      <c r="K297" s="1"/>
      <c r="L297" s="1"/>
      <c r="M297" s="9"/>
      <c r="N297" s="1"/>
      <c r="O297" s="1"/>
      <c r="P297" s="9"/>
    </row>
    <row r="298" spans="8:16" ht="13" x14ac:dyDescent="0.15">
      <c r="H298" s="1"/>
      <c r="I298" s="1"/>
      <c r="J298" s="9"/>
      <c r="K298" s="1"/>
      <c r="L298" s="1"/>
      <c r="M298" s="9"/>
      <c r="N298" s="1"/>
      <c r="O298" s="1"/>
      <c r="P298" s="9"/>
    </row>
    <row r="299" spans="8:16" ht="13" x14ac:dyDescent="0.15">
      <c r="H299" s="1"/>
      <c r="I299" s="1"/>
      <c r="J299" s="9"/>
      <c r="K299" s="1"/>
      <c r="L299" s="1"/>
      <c r="M299" s="9"/>
      <c r="N299" s="1"/>
      <c r="O299" s="1"/>
      <c r="P299" s="9"/>
    </row>
    <row r="300" spans="8:16" ht="13" x14ac:dyDescent="0.15">
      <c r="H300" s="1"/>
      <c r="I300" s="1"/>
      <c r="J300" s="9"/>
      <c r="K300" s="1"/>
      <c r="L300" s="1"/>
      <c r="M300" s="9"/>
      <c r="N300" s="1"/>
      <c r="O300" s="1"/>
      <c r="P300" s="9"/>
    </row>
    <row r="301" spans="8:16" ht="13" x14ac:dyDescent="0.15">
      <c r="H301" s="1"/>
      <c r="I301" s="1"/>
      <c r="J301" s="9"/>
      <c r="K301" s="1"/>
      <c r="L301" s="1"/>
      <c r="M301" s="9"/>
      <c r="N301" s="1"/>
      <c r="O301" s="1"/>
      <c r="P301" s="9"/>
    </row>
    <row r="302" spans="8:16" ht="13" x14ac:dyDescent="0.15">
      <c r="H302" s="1"/>
      <c r="I302" s="1"/>
      <c r="J302" s="9"/>
      <c r="K302" s="1"/>
      <c r="L302" s="1"/>
      <c r="M302" s="9"/>
      <c r="N302" s="1"/>
      <c r="O302" s="1"/>
      <c r="P302" s="9"/>
    </row>
    <row r="303" spans="8:16" ht="13" x14ac:dyDescent="0.15">
      <c r="H303" s="1"/>
      <c r="I303" s="1"/>
      <c r="J303" s="9"/>
      <c r="K303" s="1"/>
      <c r="L303" s="1"/>
      <c r="M303" s="9"/>
      <c r="N303" s="1"/>
      <c r="O303" s="1"/>
      <c r="P303" s="9"/>
    </row>
    <row r="304" spans="8:16" ht="13" x14ac:dyDescent="0.15">
      <c r="H304" s="1"/>
      <c r="I304" s="1"/>
      <c r="J304" s="9"/>
      <c r="K304" s="1"/>
      <c r="L304" s="1"/>
      <c r="M304" s="9"/>
      <c r="N304" s="1"/>
      <c r="O304" s="1"/>
      <c r="P304" s="9"/>
    </row>
    <row r="305" spans="8:16" ht="13" x14ac:dyDescent="0.15">
      <c r="H305" s="1"/>
      <c r="I305" s="1"/>
      <c r="J305" s="9"/>
      <c r="K305" s="1"/>
      <c r="L305" s="1"/>
      <c r="M305" s="9"/>
      <c r="N305" s="1"/>
      <c r="O305" s="1"/>
      <c r="P305" s="9"/>
    </row>
    <row r="306" spans="8:16" ht="13" x14ac:dyDescent="0.15">
      <c r="H306" s="1"/>
      <c r="I306" s="1"/>
      <c r="J306" s="9"/>
      <c r="K306" s="1"/>
      <c r="L306" s="1"/>
      <c r="M306" s="9"/>
      <c r="N306" s="1"/>
      <c r="O306" s="1"/>
      <c r="P306" s="9"/>
    </row>
    <row r="307" spans="8:16" ht="13" x14ac:dyDescent="0.15">
      <c r="H307" s="1"/>
      <c r="I307" s="1"/>
      <c r="J307" s="9"/>
      <c r="K307" s="1"/>
      <c r="L307" s="1"/>
      <c r="M307" s="9"/>
      <c r="N307" s="1"/>
      <c r="O307" s="1"/>
      <c r="P307" s="9"/>
    </row>
    <row r="308" spans="8:16" ht="13" x14ac:dyDescent="0.15">
      <c r="H308" s="1"/>
      <c r="I308" s="1"/>
      <c r="J308" s="9"/>
      <c r="K308" s="1"/>
      <c r="L308" s="1"/>
      <c r="M308" s="9"/>
      <c r="N308" s="1"/>
      <c r="O308" s="1"/>
      <c r="P308" s="9"/>
    </row>
    <row r="309" spans="8:16" ht="13" x14ac:dyDescent="0.15">
      <c r="H309" s="1"/>
      <c r="I309" s="1"/>
      <c r="J309" s="9"/>
      <c r="K309" s="1"/>
      <c r="L309" s="1"/>
      <c r="M309" s="9"/>
      <c r="N309" s="1"/>
      <c r="O309" s="1"/>
      <c r="P309" s="9"/>
    </row>
    <row r="310" spans="8:16" ht="13" x14ac:dyDescent="0.15">
      <c r="H310" s="1"/>
      <c r="I310" s="1"/>
      <c r="J310" s="9"/>
      <c r="K310" s="1"/>
      <c r="L310" s="1"/>
      <c r="M310" s="9"/>
      <c r="N310" s="1"/>
      <c r="O310" s="1"/>
      <c r="P310" s="9"/>
    </row>
    <row r="311" spans="8:16" ht="13" x14ac:dyDescent="0.15">
      <c r="H311" s="1"/>
      <c r="I311" s="1"/>
      <c r="J311" s="9"/>
      <c r="K311" s="1"/>
      <c r="L311" s="1"/>
      <c r="M311" s="9"/>
      <c r="N311" s="1"/>
      <c r="O311" s="1"/>
      <c r="P311" s="9"/>
    </row>
    <row r="312" spans="8:16" ht="13" x14ac:dyDescent="0.15">
      <c r="H312" s="1"/>
      <c r="I312" s="1"/>
      <c r="J312" s="9"/>
      <c r="K312" s="1"/>
      <c r="L312" s="1"/>
      <c r="M312" s="9"/>
      <c r="N312" s="1"/>
      <c r="O312" s="1"/>
      <c r="P312" s="9"/>
    </row>
    <row r="313" spans="8:16" ht="13" x14ac:dyDescent="0.15">
      <c r="H313" s="1"/>
      <c r="I313" s="1"/>
      <c r="J313" s="9"/>
      <c r="K313" s="1"/>
      <c r="L313" s="1"/>
      <c r="M313" s="9"/>
      <c r="N313" s="1"/>
      <c r="O313" s="1"/>
      <c r="P313" s="9"/>
    </row>
    <row r="314" spans="8:16" ht="13" x14ac:dyDescent="0.15">
      <c r="H314" s="1"/>
      <c r="I314" s="1"/>
      <c r="J314" s="9"/>
      <c r="K314" s="1"/>
      <c r="L314" s="1"/>
      <c r="M314" s="9"/>
      <c r="N314" s="1"/>
      <c r="O314" s="1"/>
      <c r="P314" s="9"/>
    </row>
    <row r="315" spans="8:16" ht="13" x14ac:dyDescent="0.15">
      <c r="H315" s="1"/>
      <c r="I315" s="1"/>
      <c r="J315" s="9"/>
      <c r="K315" s="1"/>
      <c r="L315" s="1"/>
      <c r="M315" s="9"/>
      <c r="N315" s="1"/>
      <c r="O315" s="1"/>
      <c r="P315" s="9"/>
    </row>
    <row r="316" spans="8:16" ht="13" x14ac:dyDescent="0.15">
      <c r="H316" s="1"/>
      <c r="I316" s="1"/>
      <c r="J316" s="9"/>
      <c r="K316" s="1"/>
      <c r="L316" s="1"/>
      <c r="M316" s="9"/>
      <c r="N316" s="1"/>
      <c r="O316" s="1"/>
      <c r="P316" s="9"/>
    </row>
    <row r="317" spans="8:16" ht="13" x14ac:dyDescent="0.15">
      <c r="H317" s="1"/>
      <c r="I317" s="1"/>
      <c r="J317" s="9"/>
      <c r="K317" s="1"/>
      <c r="L317" s="1"/>
      <c r="M317" s="9"/>
      <c r="N317" s="1"/>
      <c r="O317" s="1"/>
      <c r="P317" s="9"/>
    </row>
    <row r="318" spans="8:16" ht="13" x14ac:dyDescent="0.15">
      <c r="H318" s="1"/>
      <c r="I318" s="1"/>
      <c r="J318" s="9"/>
      <c r="K318" s="1"/>
      <c r="L318" s="1"/>
      <c r="M318" s="9"/>
      <c r="N318" s="1"/>
      <c r="O318" s="1"/>
      <c r="P318" s="9"/>
    </row>
    <row r="319" spans="8:16" ht="13" x14ac:dyDescent="0.15">
      <c r="H319" s="1"/>
      <c r="I319" s="1"/>
      <c r="J319" s="9"/>
      <c r="K319" s="1"/>
      <c r="L319" s="1"/>
      <c r="M319" s="9"/>
      <c r="N319" s="1"/>
      <c r="O319" s="1"/>
      <c r="P319" s="9"/>
    </row>
    <row r="320" spans="8:16" ht="13" x14ac:dyDescent="0.15">
      <c r="H320" s="1"/>
      <c r="I320" s="1"/>
      <c r="J320" s="9"/>
      <c r="K320" s="1"/>
      <c r="L320" s="1"/>
      <c r="M320" s="9"/>
      <c r="N320" s="1"/>
      <c r="O320" s="1"/>
      <c r="P320" s="9"/>
    </row>
    <row r="321" spans="8:16" ht="13" x14ac:dyDescent="0.15">
      <c r="H321" s="1"/>
      <c r="I321" s="1"/>
      <c r="J321" s="9"/>
      <c r="K321" s="1"/>
      <c r="L321" s="1"/>
      <c r="M321" s="9"/>
      <c r="N321" s="1"/>
      <c r="O321" s="1"/>
      <c r="P321" s="9"/>
    </row>
    <row r="322" spans="8:16" ht="13" x14ac:dyDescent="0.15">
      <c r="H322" s="1"/>
      <c r="I322" s="1"/>
      <c r="J322" s="9"/>
      <c r="K322" s="1"/>
      <c r="L322" s="1"/>
      <c r="M322" s="9"/>
      <c r="N322" s="1"/>
      <c r="O322" s="1"/>
      <c r="P322" s="9"/>
    </row>
    <row r="323" spans="8:16" ht="13" x14ac:dyDescent="0.15">
      <c r="H323" s="1"/>
      <c r="I323" s="1"/>
      <c r="J323" s="9"/>
      <c r="K323" s="1"/>
      <c r="L323" s="1"/>
      <c r="M323" s="9"/>
      <c r="N323" s="1"/>
      <c r="O323" s="1"/>
      <c r="P323" s="9"/>
    </row>
    <row r="324" spans="8:16" ht="13" x14ac:dyDescent="0.15">
      <c r="H324" s="1"/>
      <c r="I324" s="1"/>
      <c r="J324" s="9"/>
      <c r="K324" s="1"/>
      <c r="L324" s="1"/>
      <c r="M324" s="9"/>
      <c r="N324" s="1"/>
      <c r="O324" s="1"/>
      <c r="P324" s="9"/>
    </row>
    <row r="325" spans="8:16" ht="13" x14ac:dyDescent="0.15">
      <c r="H325" s="1"/>
      <c r="I325" s="1"/>
      <c r="J325" s="9"/>
      <c r="K325" s="1"/>
      <c r="L325" s="1"/>
      <c r="M325" s="9"/>
      <c r="N325" s="1"/>
      <c r="O325" s="1"/>
      <c r="P325" s="9"/>
    </row>
    <row r="326" spans="8:16" ht="13" x14ac:dyDescent="0.15">
      <c r="H326" s="1"/>
      <c r="I326" s="1"/>
      <c r="J326" s="9"/>
      <c r="K326" s="1"/>
      <c r="L326" s="1"/>
      <c r="M326" s="9"/>
      <c r="N326" s="1"/>
      <c r="O326" s="1"/>
      <c r="P326" s="9"/>
    </row>
    <row r="327" spans="8:16" ht="13" x14ac:dyDescent="0.15">
      <c r="H327" s="1"/>
      <c r="I327" s="1"/>
      <c r="J327" s="9"/>
      <c r="K327" s="1"/>
      <c r="L327" s="1"/>
      <c r="M327" s="9"/>
      <c r="N327" s="1"/>
      <c r="O327" s="1"/>
      <c r="P327" s="9"/>
    </row>
    <row r="328" spans="8:16" ht="13" x14ac:dyDescent="0.15">
      <c r="H328" s="1"/>
      <c r="I328" s="1"/>
      <c r="J328" s="9"/>
      <c r="K328" s="1"/>
      <c r="L328" s="1"/>
      <c r="M328" s="9"/>
      <c r="N328" s="1"/>
      <c r="O328" s="1"/>
      <c r="P328" s="9"/>
    </row>
    <row r="329" spans="8:16" ht="13" x14ac:dyDescent="0.15">
      <c r="H329" s="1"/>
      <c r="I329" s="1"/>
      <c r="J329" s="9"/>
      <c r="K329" s="1"/>
      <c r="L329" s="1"/>
      <c r="M329" s="9"/>
      <c r="N329" s="1"/>
      <c r="O329" s="1"/>
      <c r="P329" s="9"/>
    </row>
    <row r="330" spans="8:16" ht="13" x14ac:dyDescent="0.15">
      <c r="H330" s="1"/>
      <c r="I330" s="1"/>
      <c r="J330" s="9"/>
      <c r="K330" s="1"/>
      <c r="L330" s="1"/>
      <c r="M330" s="9"/>
      <c r="N330" s="1"/>
      <c r="O330" s="1"/>
      <c r="P330" s="9"/>
    </row>
    <row r="331" spans="8:16" ht="13" x14ac:dyDescent="0.15">
      <c r="H331" s="1"/>
      <c r="I331" s="1"/>
      <c r="J331" s="9"/>
      <c r="K331" s="1"/>
      <c r="L331" s="1"/>
      <c r="M331" s="9"/>
      <c r="N331" s="1"/>
      <c r="O331" s="1"/>
      <c r="P331" s="9"/>
    </row>
    <row r="332" spans="8:16" ht="13" x14ac:dyDescent="0.15">
      <c r="H332" s="1"/>
      <c r="I332" s="1"/>
      <c r="J332" s="9"/>
      <c r="K332" s="1"/>
      <c r="L332" s="1"/>
      <c r="M332" s="9"/>
      <c r="N332" s="1"/>
      <c r="O332" s="1"/>
      <c r="P332" s="9"/>
    </row>
    <row r="333" spans="8:16" ht="13" x14ac:dyDescent="0.15">
      <c r="H333" s="1"/>
      <c r="I333" s="1"/>
      <c r="J333" s="9"/>
      <c r="K333" s="1"/>
      <c r="L333" s="1"/>
      <c r="M333" s="9"/>
      <c r="N333" s="1"/>
      <c r="O333" s="1"/>
      <c r="P333" s="9"/>
    </row>
    <row r="334" spans="8:16" ht="13" x14ac:dyDescent="0.15">
      <c r="H334" s="1"/>
      <c r="I334" s="1"/>
      <c r="J334" s="9"/>
      <c r="K334" s="1"/>
      <c r="L334" s="1"/>
      <c r="M334" s="9"/>
      <c r="N334" s="1"/>
      <c r="O334" s="1"/>
      <c r="P334" s="9"/>
    </row>
    <row r="335" spans="8:16" ht="13" x14ac:dyDescent="0.15">
      <c r="H335" s="1"/>
      <c r="I335" s="1"/>
      <c r="J335" s="9"/>
      <c r="K335" s="1"/>
      <c r="L335" s="1"/>
      <c r="M335" s="9"/>
      <c r="N335" s="1"/>
      <c r="O335" s="1"/>
      <c r="P335" s="9"/>
    </row>
    <row r="336" spans="8:16" ht="13" x14ac:dyDescent="0.15">
      <c r="H336" s="1"/>
      <c r="I336" s="1"/>
      <c r="J336" s="9"/>
      <c r="K336" s="1"/>
      <c r="L336" s="1"/>
      <c r="M336" s="9"/>
      <c r="N336" s="1"/>
      <c r="O336" s="1"/>
      <c r="P336" s="9"/>
    </row>
    <row r="337" spans="8:16" ht="13" x14ac:dyDescent="0.15">
      <c r="H337" s="1"/>
      <c r="I337" s="1"/>
      <c r="J337" s="9"/>
      <c r="K337" s="1"/>
      <c r="L337" s="1"/>
      <c r="M337" s="9"/>
      <c r="N337" s="1"/>
      <c r="O337" s="1"/>
      <c r="P337" s="9"/>
    </row>
    <row r="338" spans="8:16" ht="13" x14ac:dyDescent="0.15">
      <c r="H338" s="1"/>
      <c r="I338" s="1"/>
      <c r="J338" s="9"/>
      <c r="K338" s="1"/>
      <c r="L338" s="1"/>
      <c r="M338" s="9"/>
      <c r="N338" s="1"/>
      <c r="O338" s="1"/>
      <c r="P338" s="9"/>
    </row>
    <row r="339" spans="8:16" ht="13" x14ac:dyDescent="0.15">
      <c r="H339" s="1"/>
      <c r="I339" s="1"/>
      <c r="J339" s="9"/>
      <c r="K339" s="1"/>
      <c r="L339" s="1"/>
      <c r="M339" s="9"/>
      <c r="N339" s="1"/>
      <c r="O339" s="1"/>
      <c r="P339" s="9"/>
    </row>
    <row r="340" spans="8:16" ht="13" x14ac:dyDescent="0.15">
      <c r="H340" s="1"/>
      <c r="I340" s="1"/>
      <c r="J340" s="9"/>
      <c r="K340" s="1"/>
      <c r="L340" s="1"/>
      <c r="M340" s="9"/>
      <c r="N340" s="1"/>
      <c r="O340" s="1"/>
      <c r="P340" s="9"/>
    </row>
    <row r="341" spans="8:16" ht="13" x14ac:dyDescent="0.15">
      <c r="H341" s="1"/>
      <c r="I341" s="1"/>
      <c r="J341" s="9"/>
      <c r="K341" s="1"/>
      <c r="L341" s="1"/>
      <c r="M341" s="9"/>
      <c r="N341" s="1"/>
      <c r="O341" s="1"/>
      <c r="P341" s="9"/>
    </row>
    <row r="342" spans="8:16" ht="13" x14ac:dyDescent="0.15">
      <c r="H342" s="1"/>
      <c r="I342" s="1"/>
      <c r="J342" s="9"/>
      <c r="K342" s="1"/>
      <c r="L342" s="1"/>
      <c r="M342" s="9"/>
      <c r="N342" s="1"/>
      <c r="O342" s="1"/>
      <c r="P342" s="9"/>
    </row>
    <row r="343" spans="8:16" ht="13" x14ac:dyDescent="0.15">
      <c r="H343" s="1"/>
      <c r="I343" s="1"/>
      <c r="J343" s="9"/>
      <c r="K343" s="1"/>
      <c r="L343" s="1"/>
      <c r="M343" s="9"/>
      <c r="N343" s="1"/>
      <c r="O343" s="1"/>
      <c r="P343" s="9"/>
    </row>
    <row r="344" spans="8:16" ht="13" x14ac:dyDescent="0.15">
      <c r="H344" s="1"/>
      <c r="I344" s="1"/>
      <c r="J344" s="9"/>
      <c r="K344" s="1"/>
      <c r="L344" s="1"/>
      <c r="M344" s="9"/>
      <c r="N344" s="1"/>
      <c r="O344" s="1"/>
      <c r="P344" s="9"/>
    </row>
    <row r="345" spans="8:16" ht="13" x14ac:dyDescent="0.15">
      <c r="H345" s="1"/>
      <c r="I345" s="1"/>
      <c r="J345" s="9"/>
      <c r="K345" s="1"/>
      <c r="L345" s="1"/>
      <c r="M345" s="9"/>
      <c r="N345" s="1"/>
      <c r="O345" s="1"/>
      <c r="P345" s="9"/>
    </row>
    <row r="346" spans="8:16" ht="13" x14ac:dyDescent="0.15">
      <c r="H346" s="1"/>
      <c r="I346" s="1"/>
      <c r="J346" s="9"/>
      <c r="K346" s="1"/>
      <c r="L346" s="1"/>
      <c r="M346" s="9"/>
      <c r="N346" s="1"/>
      <c r="O346" s="1"/>
      <c r="P346" s="9"/>
    </row>
    <row r="347" spans="8:16" ht="13" x14ac:dyDescent="0.15">
      <c r="H347" s="1"/>
      <c r="I347" s="1"/>
      <c r="J347" s="9"/>
      <c r="K347" s="1"/>
      <c r="L347" s="1"/>
      <c r="M347" s="9"/>
      <c r="N347" s="1"/>
      <c r="O347" s="1"/>
      <c r="P347" s="9"/>
    </row>
    <row r="348" spans="8:16" ht="13" x14ac:dyDescent="0.15">
      <c r="H348" s="1"/>
      <c r="I348" s="1"/>
      <c r="J348" s="9"/>
      <c r="K348" s="1"/>
      <c r="L348" s="1"/>
      <c r="M348" s="9"/>
      <c r="N348" s="1"/>
      <c r="O348" s="1"/>
      <c r="P348" s="9"/>
    </row>
    <row r="349" spans="8:16" ht="13" x14ac:dyDescent="0.15">
      <c r="H349" s="1"/>
      <c r="I349" s="1"/>
      <c r="J349" s="9"/>
      <c r="K349" s="1"/>
      <c r="L349" s="1"/>
      <c r="M349" s="9"/>
      <c r="N349" s="1"/>
      <c r="O349" s="1"/>
      <c r="P349" s="9"/>
    </row>
    <row r="350" spans="8:16" ht="13" x14ac:dyDescent="0.15">
      <c r="H350" s="1"/>
      <c r="I350" s="1"/>
      <c r="J350" s="9"/>
      <c r="K350" s="1"/>
      <c r="L350" s="1"/>
      <c r="M350" s="9"/>
      <c r="N350" s="1"/>
      <c r="O350" s="1"/>
      <c r="P350" s="9"/>
    </row>
    <row r="351" spans="8:16" ht="13" x14ac:dyDescent="0.15">
      <c r="H351" s="1"/>
      <c r="I351" s="1"/>
      <c r="J351" s="9"/>
      <c r="K351" s="1"/>
      <c r="L351" s="1"/>
      <c r="M351" s="9"/>
      <c r="N351" s="1"/>
      <c r="O351" s="1"/>
      <c r="P351" s="9"/>
    </row>
    <row r="352" spans="8:16" ht="13" x14ac:dyDescent="0.15">
      <c r="H352" s="1"/>
      <c r="I352" s="1"/>
      <c r="J352" s="9"/>
      <c r="K352" s="1"/>
      <c r="L352" s="1"/>
      <c r="M352" s="9"/>
      <c r="N352" s="1"/>
      <c r="O352" s="1"/>
      <c r="P352" s="9"/>
    </row>
    <row r="353" spans="8:16" ht="13" x14ac:dyDescent="0.15">
      <c r="H353" s="1"/>
      <c r="I353" s="1"/>
      <c r="J353" s="9"/>
      <c r="K353" s="1"/>
      <c r="L353" s="1"/>
      <c r="M353" s="9"/>
      <c r="N353" s="1"/>
      <c r="O353" s="1"/>
      <c r="P353" s="9"/>
    </row>
    <row r="354" spans="8:16" ht="13" x14ac:dyDescent="0.15">
      <c r="H354" s="1"/>
      <c r="I354" s="1"/>
      <c r="J354" s="9"/>
      <c r="K354" s="1"/>
      <c r="L354" s="1"/>
      <c r="M354" s="9"/>
      <c r="N354" s="1"/>
      <c r="O354" s="1"/>
      <c r="P354" s="9"/>
    </row>
    <row r="355" spans="8:16" ht="13" x14ac:dyDescent="0.15">
      <c r="H355" s="1"/>
      <c r="I355" s="1"/>
      <c r="J355" s="9"/>
      <c r="K355" s="1"/>
      <c r="L355" s="1"/>
      <c r="M355" s="9"/>
      <c r="N355" s="1"/>
      <c r="O355" s="1"/>
      <c r="P355" s="9"/>
    </row>
    <row r="356" spans="8:16" ht="13" x14ac:dyDescent="0.15">
      <c r="H356" s="1"/>
      <c r="I356" s="1"/>
      <c r="J356" s="9"/>
      <c r="K356" s="1"/>
      <c r="L356" s="1"/>
      <c r="M356" s="9"/>
      <c r="N356" s="1"/>
      <c r="O356" s="1"/>
      <c r="P356" s="9"/>
    </row>
    <row r="357" spans="8:16" ht="13" x14ac:dyDescent="0.15">
      <c r="H357" s="1"/>
      <c r="I357" s="1"/>
      <c r="J357" s="9"/>
      <c r="K357" s="1"/>
      <c r="L357" s="1"/>
      <c r="M357" s="9"/>
      <c r="N357" s="1"/>
      <c r="O357" s="1"/>
      <c r="P357" s="9"/>
    </row>
    <row r="358" spans="8:16" ht="13" x14ac:dyDescent="0.15">
      <c r="H358" s="1"/>
      <c r="I358" s="1"/>
      <c r="J358" s="9"/>
      <c r="K358" s="1"/>
      <c r="L358" s="1"/>
      <c r="M358" s="9"/>
      <c r="N358" s="1"/>
      <c r="O358" s="1"/>
      <c r="P358" s="9"/>
    </row>
    <row r="359" spans="8:16" ht="13" x14ac:dyDescent="0.15">
      <c r="H359" s="1"/>
      <c r="I359" s="1"/>
      <c r="J359" s="9"/>
      <c r="K359" s="1"/>
      <c r="L359" s="1"/>
      <c r="M359" s="9"/>
      <c r="N359" s="1"/>
      <c r="O359" s="1"/>
      <c r="P359" s="9"/>
    </row>
    <row r="360" spans="8:16" ht="13" x14ac:dyDescent="0.15">
      <c r="H360" s="1"/>
      <c r="I360" s="1"/>
      <c r="J360" s="9"/>
      <c r="K360" s="1"/>
      <c r="L360" s="1"/>
      <c r="M360" s="9"/>
      <c r="N360" s="1"/>
      <c r="O360" s="1"/>
      <c r="P360" s="9"/>
    </row>
    <row r="361" spans="8:16" ht="13" x14ac:dyDescent="0.15">
      <c r="H361" s="1"/>
      <c r="I361" s="1"/>
      <c r="J361" s="9"/>
      <c r="K361" s="1"/>
      <c r="L361" s="1"/>
      <c r="M361" s="9"/>
      <c r="N361" s="1"/>
      <c r="O361" s="1"/>
      <c r="P361" s="9"/>
    </row>
    <row r="362" spans="8:16" ht="13" x14ac:dyDescent="0.15">
      <c r="H362" s="1"/>
      <c r="I362" s="1"/>
      <c r="J362" s="9"/>
      <c r="K362" s="1"/>
      <c r="L362" s="1"/>
      <c r="M362" s="9"/>
      <c r="N362" s="1"/>
      <c r="O362" s="1"/>
      <c r="P362" s="9"/>
    </row>
    <row r="363" spans="8:16" ht="13" x14ac:dyDescent="0.15">
      <c r="H363" s="1"/>
      <c r="I363" s="1"/>
      <c r="J363" s="9"/>
      <c r="K363" s="1"/>
      <c r="L363" s="1"/>
      <c r="M363" s="9"/>
      <c r="N363" s="1"/>
      <c r="O363" s="1"/>
      <c r="P363" s="9"/>
    </row>
    <row r="364" spans="8:16" ht="13" x14ac:dyDescent="0.15">
      <c r="H364" s="1"/>
      <c r="I364" s="1"/>
      <c r="J364" s="9"/>
      <c r="K364" s="1"/>
      <c r="L364" s="1"/>
      <c r="M364" s="9"/>
      <c r="N364" s="1"/>
      <c r="O364" s="1"/>
      <c r="P364" s="9"/>
    </row>
    <row r="365" spans="8:16" ht="13" x14ac:dyDescent="0.15">
      <c r="H365" s="1"/>
      <c r="I365" s="1"/>
      <c r="J365" s="9"/>
      <c r="K365" s="1"/>
      <c r="L365" s="1"/>
      <c r="M365" s="9"/>
      <c r="N365" s="1"/>
      <c r="O365" s="1"/>
      <c r="P365" s="9"/>
    </row>
    <row r="366" spans="8:16" ht="13" x14ac:dyDescent="0.15">
      <c r="H366" s="1"/>
      <c r="I366" s="1"/>
      <c r="J366" s="9"/>
      <c r="K366" s="1"/>
      <c r="L366" s="1"/>
      <c r="M366" s="9"/>
      <c r="N366" s="1"/>
      <c r="O366" s="1"/>
      <c r="P366" s="9"/>
    </row>
    <row r="367" spans="8:16" ht="13" x14ac:dyDescent="0.15">
      <c r="H367" s="1"/>
      <c r="I367" s="1"/>
      <c r="J367" s="9"/>
      <c r="K367" s="1"/>
      <c r="L367" s="1"/>
      <c r="M367" s="9"/>
      <c r="N367" s="1"/>
      <c r="O367" s="1"/>
      <c r="P367" s="9"/>
    </row>
    <row r="368" spans="8:16" ht="13" x14ac:dyDescent="0.15">
      <c r="H368" s="1"/>
      <c r="I368" s="1"/>
      <c r="J368" s="9"/>
      <c r="K368" s="1"/>
      <c r="L368" s="1"/>
      <c r="M368" s="9"/>
      <c r="N368" s="1"/>
      <c r="O368" s="1"/>
      <c r="P368" s="9"/>
    </row>
    <row r="369" spans="8:16" ht="13" x14ac:dyDescent="0.15">
      <c r="H369" s="1"/>
      <c r="I369" s="1"/>
      <c r="J369" s="9"/>
      <c r="K369" s="1"/>
      <c r="L369" s="1"/>
      <c r="M369" s="9"/>
      <c r="N369" s="1"/>
      <c r="O369" s="1"/>
      <c r="P369" s="9"/>
    </row>
    <row r="370" spans="8:16" ht="13" x14ac:dyDescent="0.15">
      <c r="H370" s="1"/>
      <c r="I370" s="1"/>
      <c r="J370" s="9"/>
      <c r="K370" s="1"/>
      <c r="L370" s="1"/>
      <c r="M370" s="9"/>
      <c r="N370" s="1"/>
      <c r="O370" s="1"/>
      <c r="P370" s="9"/>
    </row>
    <row r="371" spans="8:16" ht="13" x14ac:dyDescent="0.15">
      <c r="H371" s="1"/>
      <c r="I371" s="1"/>
      <c r="J371" s="9"/>
      <c r="K371" s="1"/>
      <c r="L371" s="1"/>
      <c r="M371" s="9"/>
      <c r="N371" s="1"/>
      <c r="O371" s="1"/>
      <c r="P371" s="9"/>
    </row>
    <row r="372" spans="8:16" ht="13" x14ac:dyDescent="0.15">
      <c r="H372" s="1"/>
      <c r="I372" s="1"/>
      <c r="J372" s="9"/>
      <c r="K372" s="1"/>
      <c r="L372" s="1"/>
      <c r="M372" s="9"/>
      <c r="N372" s="1"/>
      <c r="O372" s="1"/>
      <c r="P372" s="9"/>
    </row>
    <row r="373" spans="8:16" ht="13" x14ac:dyDescent="0.15">
      <c r="H373" s="1"/>
      <c r="I373" s="1"/>
      <c r="J373" s="9"/>
      <c r="K373" s="1"/>
      <c r="L373" s="1"/>
      <c r="M373" s="9"/>
      <c r="N373" s="1"/>
      <c r="O373" s="1"/>
      <c r="P373" s="9"/>
    </row>
    <row r="374" spans="8:16" ht="13" x14ac:dyDescent="0.15">
      <c r="H374" s="1"/>
      <c r="I374" s="1"/>
      <c r="J374" s="9"/>
      <c r="K374" s="1"/>
      <c r="L374" s="1"/>
      <c r="M374" s="9"/>
      <c r="N374" s="1"/>
      <c r="O374" s="1"/>
      <c r="P374" s="9"/>
    </row>
    <row r="375" spans="8:16" ht="13" x14ac:dyDescent="0.15">
      <c r="H375" s="1"/>
      <c r="I375" s="1"/>
      <c r="J375" s="9"/>
      <c r="K375" s="1"/>
      <c r="L375" s="1"/>
      <c r="M375" s="9"/>
      <c r="N375" s="1"/>
      <c r="O375" s="1"/>
      <c r="P375" s="9"/>
    </row>
    <row r="376" spans="8:16" ht="13" x14ac:dyDescent="0.15">
      <c r="H376" s="1"/>
      <c r="I376" s="1"/>
      <c r="J376" s="9"/>
      <c r="K376" s="1"/>
      <c r="L376" s="1"/>
      <c r="M376" s="9"/>
      <c r="N376" s="1"/>
      <c r="O376" s="1"/>
      <c r="P376" s="9"/>
    </row>
    <row r="377" spans="8:16" ht="13" x14ac:dyDescent="0.15">
      <c r="H377" s="1"/>
      <c r="I377" s="1"/>
      <c r="J377" s="9"/>
      <c r="K377" s="1"/>
      <c r="L377" s="1"/>
      <c r="M377" s="9"/>
      <c r="N377" s="1"/>
      <c r="O377" s="1"/>
      <c r="P377" s="9"/>
    </row>
    <row r="378" spans="8:16" ht="13" x14ac:dyDescent="0.15">
      <c r="H378" s="1"/>
      <c r="I378" s="1"/>
      <c r="J378" s="9"/>
      <c r="K378" s="1"/>
      <c r="L378" s="1"/>
      <c r="M378" s="9"/>
      <c r="N378" s="1"/>
      <c r="O378" s="1"/>
      <c r="P378" s="9"/>
    </row>
    <row r="379" spans="8:16" ht="13" x14ac:dyDescent="0.15">
      <c r="H379" s="1"/>
      <c r="I379" s="1"/>
      <c r="J379" s="9"/>
      <c r="K379" s="1"/>
      <c r="L379" s="1"/>
      <c r="M379" s="9"/>
      <c r="N379" s="1"/>
      <c r="O379" s="1"/>
      <c r="P379" s="9"/>
    </row>
    <row r="380" spans="8:16" ht="13" x14ac:dyDescent="0.15">
      <c r="H380" s="1"/>
      <c r="I380" s="1"/>
      <c r="J380" s="9"/>
      <c r="K380" s="1"/>
      <c r="L380" s="1"/>
      <c r="M380" s="9"/>
      <c r="N380" s="1"/>
      <c r="O380" s="1"/>
      <c r="P380" s="9"/>
    </row>
    <row r="381" spans="8:16" ht="13" x14ac:dyDescent="0.15">
      <c r="H381" s="1"/>
      <c r="I381" s="1"/>
      <c r="J381" s="9"/>
      <c r="K381" s="1"/>
      <c r="L381" s="1"/>
      <c r="M381" s="9"/>
      <c r="N381" s="1"/>
      <c r="O381" s="1"/>
      <c r="P381" s="9"/>
    </row>
    <row r="382" spans="8:16" ht="13" x14ac:dyDescent="0.15">
      <c r="H382" s="1"/>
      <c r="I382" s="1"/>
      <c r="J382" s="9"/>
      <c r="K382" s="1"/>
      <c r="L382" s="1"/>
      <c r="M382" s="9"/>
      <c r="N382" s="1"/>
      <c r="O382" s="1"/>
      <c r="P382" s="9"/>
    </row>
    <row r="383" spans="8:16" ht="13" x14ac:dyDescent="0.15">
      <c r="H383" s="1"/>
      <c r="I383" s="1"/>
      <c r="J383" s="9"/>
      <c r="K383" s="1"/>
      <c r="L383" s="1"/>
      <c r="M383" s="9"/>
      <c r="N383" s="1"/>
      <c r="O383" s="1"/>
      <c r="P383" s="9"/>
    </row>
    <row r="384" spans="8:16" ht="13" x14ac:dyDescent="0.15">
      <c r="H384" s="1"/>
      <c r="I384" s="1"/>
      <c r="J384" s="9"/>
      <c r="K384" s="1"/>
      <c r="L384" s="1"/>
      <c r="M384" s="9"/>
      <c r="N384" s="1"/>
      <c r="O384" s="1"/>
      <c r="P384" s="9"/>
    </row>
    <row r="385" spans="8:16" ht="13" x14ac:dyDescent="0.15">
      <c r="H385" s="1"/>
      <c r="I385" s="1"/>
      <c r="J385" s="9"/>
      <c r="K385" s="1"/>
      <c r="L385" s="1"/>
      <c r="M385" s="9"/>
      <c r="N385" s="1"/>
      <c r="O385" s="1"/>
      <c r="P385" s="9"/>
    </row>
    <row r="386" spans="8:16" ht="13" x14ac:dyDescent="0.15">
      <c r="H386" s="1"/>
      <c r="I386" s="1"/>
      <c r="J386" s="9"/>
      <c r="K386" s="1"/>
      <c r="L386" s="1"/>
      <c r="M386" s="9"/>
      <c r="N386" s="1"/>
      <c r="O386" s="1"/>
      <c r="P386" s="9"/>
    </row>
    <row r="387" spans="8:16" ht="13" x14ac:dyDescent="0.15">
      <c r="H387" s="1"/>
      <c r="I387" s="1"/>
      <c r="J387" s="9"/>
      <c r="K387" s="1"/>
      <c r="L387" s="1"/>
      <c r="M387" s="9"/>
      <c r="N387" s="1"/>
      <c r="O387" s="1"/>
      <c r="P387" s="9"/>
    </row>
    <row r="388" spans="8:16" ht="13" x14ac:dyDescent="0.15">
      <c r="H388" s="1"/>
      <c r="I388" s="1"/>
      <c r="J388" s="9"/>
      <c r="K388" s="1"/>
      <c r="L388" s="1"/>
      <c r="M388" s="9"/>
      <c r="N388" s="1"/>
      <c r="O388" s="1"/>
      <c r="P388" s="9"/>
    </row>
    <row r="389" spans="8:16" ht="13" x14ac:dyDescent="0.15">
      <c r="H389" s="1"/>
      <c r="I389" s="1"/>
      <c r="J389" s="9"/>
      <c r="K389" s="1"/>
      <c r="L389" s="1"/>
      <c r="M389" s="9"/>
      <c r="N389" s="1"/>
      <c r="O389" s="1"/>
      <c r="P389" s="9"/>
    </row>
    <row r="390" spans="8:16" ht="13" x14ac:dyDescent="0.15">
      <c r="H390" s="1"/>
      <c r="I390" s="1"/>
      <c r="J390" s="9"/>
      <c r="K390" s="1"/>
      <c r="L390" s="1"/>
      <c r="M390" s="9"/>
      <c r="N390" s="1"/>
      <c r="O390" s="1"/>
      <c r="P390" s="9"/>
    </row>
    <row r="391" spans="8:16" ht="13" x14ac:dyDescent="0.15">
      <c r="H391" s="1"/>
      <c r="I391" s="1"/>
      <c r="J391" s="9"/>
      <c r="K391" s="1"/>
      <c r="L391" s="1"/>
      <c r="M391" s="9"/>
      <c r="N391" s="1"/>
      <c r="O391" s="1"/>
      <c r="P391" s="9"/>
    </row>
    <row r="392" spans="8:16" ht="13" x14ac:dyDescent="0.15">
      <c r="H392" s="1"/>
      <c r="I392" s="1"/>
      <c r="J392" s="9"/>
      <c r="K392" s="1"/>
      <c r="L392" s="1"/>
      <c r="M392" s="9"/>
      <c r="N392" s="1"/>
      <c r="O392" s="1"/>
      <c r="P392" s="9"/>
    </row>
    <row r="393" spans="8:16" ht="13" x14ac:dyDescent="0.15">
      <c r="H393" s="1"/>
      <c r="I393" s="1"/>
      <c r="J393" s="9"/>
      <c r="K393" s="1"/>
      <c r="L393" s="1"/>
      <c r="M393" s="9"/>
      <c r="N393" s="1"/>
      <c r="O393" s="1"/>
      <c r="P393" s="9"/>
    </row>
    <row r="394" spans="8:16" ht="13" x14ac:dyDescent="0.15">
      <c r="H394" s="1"/>
      <c r="I394" s="1"/>
      <c r="J394" s="9"/>
      <c r="K394" s="1"/>
      <c r="L394" s="1"/>
      <c r="M394" s="9"/>
      <c r="N394" s="1"/>
      <c r="O394" s="1"/>
      <c r="P394" s="9"/>
    </row>
    <row r="395" spans="8:16" ht="13" x14ac:dyDescent="0.15">
      <c r="H395" s="1"/>
      <c r="I395" s="1"/>
      <c r="J395" s="9"/>
      <c r="K395" s="1"/>
      <c r="L395" s="1"/>
      <c r="M395" s="9"/>
      <c r="N395" s="1"/>
      <c r="O395" s="1"/>
      <c r="P395" s="9"/>
    </row>
    <row r="396" spans="8:16" ht="13" x14ac:dyDescent="0.15">
      <c r="H396" s="1"/>
      <c r="I396" s="1"/>
      <c r="J396" s="9"/>
      <c r="K396" s="1"/>
      <c r="L396" s="1"/>
      <c r="M396" s="9"/>
      <c r="N396" s="1"/>
      <c r="O396" s="1"/>
      <c r="P396" s="9"/>
    </row>
    <row r="397" spans="8:16" ht="13" x14ac:dyDescent="0.15">
      <c r="H397" s="1"/>
      <c r="I397" s="1"/>
      <c r="J397" s="9"/>
      <c r="K397" s="1"/>
      <c r="L397" s="1"/>
      <c r="M397" s="9"/>
      <c r="N397" s="1"/>
      <c r="O397" s="1"/>
      <c r="P397" s="9"/>
    </row>
    <row r="398" spans="8:16" ht="13" x14ac:dyDescent="0.15">
      <c r="H398" s="1"/>
      <c r="I398" s="1"/>
      <c r="J398" s="9"/>
      <c r="K398" s="1"/>
      <c r="L398" s="1"/>
      <c r="M398" s="9"/>
      <c r="N398" s="1"/>
      <c r="O398" s="1"/>
      <c r="P398" s="9"/>
    </row>
    <row r="399" spans="8:16" ht="13" x14ac:dyDescent="0.15">
      <c r="H399" s="1"/>
      <c r="I399" s="1"/>
      <c r="J399" s="9"/>
      <c r="K399" s="1"/>
      <c r="L399" s="1"/>
      <c r="M399" s="9"/>
      <c r="N399" s="1"/>
      <c r="O399" s="1"/>
      <c r="P399" s="9"/>
    </row>
    <row r="400" spans="8:16" ht="13" x14ac:dyDescent="0.15">
      <c r="H400" s="1"/>
      <c r="I400" s="1"/>
      <c r="J400" s="9"/>
      <c r="K400" s="1"/>
      <c r="L400" s="1"/>
      <c r="M400" s="9"/>
      <c r="N400" s="1"/>
      <c r="O400" s="1"/>
      <c r="P400" s="9"/>
    </row>
    <row r="401" spans="8:16" ht="13" x14ac:dyDescent="0.15">
      <c r="H401" s="1"/>
      <c r="I401" s="1"/>
      <c r="J401" s="9"/>
      <c r="K401" s="1"/>
      <c r="L401" s="1"/>
      <c r="M401" s="9"/>
      <c r="N401" s="1"/>
      <c r="O401" s="1"/>
      <c r="P401" s="9"/>
    </row>
    <row r="402" spans="8:16" ht="13" x14ac:dyDescent="0.15">
      <c r="H402" s="1"/>
      <c r="I402" s="1"/>
      <c r="J402" s="9"/>
      <c r="K402" s="1"/>
      <c r="L402" s="1"/>
      <c r="M402" s="9"/>
      <c r="N402" s="1"/>
      <c r="O402" s="1"/>
      <c r="P402" s="9"/>
    </row>
    <row r="403" spans="8:16" ht="13" x14ac:dyDescent="0.15">
      <c r="H403" s="1"/>
      <c r="I403" s="1"/>
      <c r="J403" s="9"/>
      <c r="K403" s="1"/>
      <c r="L403" s="1"/>
      <c r="M403" s="9"/>
      <c r="N403" s="1"/>
      <c r="O403" s="1"/>
      <c r="P403" s="9"/>
    </row>
    <row r="404" spans="8:16" ht="13" x14ac:dyDescent="0.15">
      <c r="H404" s="1"/>
      <c r="I404" s="1"/>
      <c r="J404" s="9"/>
      <c r="K404" s="1"/>
      <c r="L404" s="1"/>
      <c r="M404" s="9"/>
      <c r="N404" s="1"/>
      <c r="O404" s="1"/>
      <c r="P404" s="9"/>
    </row>
    <row r="405" spans="8:16" ht="13" x14ac:dyDescent="0.15">
      <c r="H405" s="1"/>
      <c r="I405" s="1"/>
      <c r="J405" s="9"/>
      <c r="K405" s="1"/>
      <c r="L405" s="1"/>
      <c r="M405" s="9"/>
      <c r="N405" s="1"/>
      <c r="O405" s="1"/>
      <c r="P405" s="9"/>
    </row>
    <row r="406" spans="8:16" ht="13" x14ac:dyDescent="0.15">
      <c r="H406" s="1"/>
      <c r="I406" s="1"/>
      <c r="J406" s="9"/>
      <c r="K406" s="1"/>
      <c r="L406" s="1"/>
      <c r="M406" s="9"/>
      <c r="N406" s="1"/>
      <c r="O406" s="1"/>
      <c r="P406" s="9"/>
    </row>
    <row r="407" spans="8:16" ht="13" x14ac:dyDescent="0.15">
      <c r="H407" s="1"/>
      <c r="I407" s="1"/>
      <c r="J407" s="9"/>
      <c r="K407" s="1"/>
      <c r="L407" s="1"/>
      <c r="M407" s="9"/>
      <c r="N407" s="1"/>
      <c r="O407" s="1"/>
      <c r="P407" s="9"/>
    </row>
    <row r="408" spans="8:16" ht="13" x14ac:dyDescent="0.15">
      <c r="H408" s="1"/>
      <c r="I408" s="1"/>
      <c r="J408" s="9"/>
      <c r="K408" s="1"/>
      <c r="L408" s="1"/>
      <c r="M408" s="9"/>
      <c r="N408" s="1"/>
      <c r="O408" s="1"/>
      <c r="P408" s="9"/>
    </row>
    <row r="409" spans="8:16" ht="13" x14ac:dyDescent="0.15">
      <c r="H409" s="1"/>
      <c r="I409" s="1"/>
      <c r="J409" s="9"/>
      <c r="K409" s="1"/>
      <c r="L409" s="1"/>
      <c r="M409" s="9"/>
      <c r="N409" s="1"/>
      <c r="O409" s="1"/>
      <c r="P409" s="9"/>
    </row>
    <row r="410" spans="8:16" ht="13" x14ac:dyDescent="0.15">
      <c r="H410" s="1"/>
      <c r="I410" s="1"/>
      <c r="J410" s="9"/>
      <c r="K410" s="1"/>
      <c r="L410" s="1"/>
      <c r="M410" s="9"/>
      <c r="N410" s="1"/>
      <c r="O410" s="1"/>
      <c r="P410" s="9"/>
    </row>
    <row r="411" spans="8:16" ht="13" x14ac:dyDescent="0.15">
      <c r="H411" s="1"/>
      <c r="I411" s="1"/>
      <c r="J411" s="9"/>
      <c r="K411" s="1"/>
      <c r="L411" s="1"/>
      <c r="M411" s="9"/>
      <c r="N411" s="1"/>
      <c r="O411" s="1"/>
      <c r="P411" s="9"/>
    </row>
    <row r="412" spans="8:16" ht="13" x14ac:dyDescent="0.15">
      <c r="H412" s="1"/>
      <c r="I412" s="1"/>
      <c r="J412" s="9"/>
      <c r="K412" s="1"/>
      <c r="L412" s="1"/>
      <c r="M412" s="9"/>
      <c r="N412" s="1"/>
      <c r="O412" s="1"/>
      <c r="P412" s="9"/>
    </row>
    <row r="413" spans="8:16" ht="13" x14ac:dyDescent="0.15">
      <c r="H413" s="1"/>
      <c r="I413" s="1"/>
      <c r="J413" s="9"/>
      <c r="K413" s="1"/>
      <c r="L413" s="1"/>
      <c r="M413" s="9"/>
      <c r="N413" s="1"/>
      <c r="O413" s="1"/>
      <c r="P413" s="9"/>
    </row>
    <row r="414" spans="8:16" ht="13" x14ac:dyDescent="0.15">
      <c r="H414" s="1"/>
      <c r="I414" s="1"/>
      <c r="J414" s="9"/>
      <c r="K414" s="1"/>
      <c r="L414" s="1"/>
      <c r="M414" s="9"/>
      <c r="N414" s="1"/>
      <c r="O414" s="1"/>
      <c r="P414" s="9"/>
    </row>
    <row r="415" spans="8:16" ht="13" x14ac:dyDescent="0.15">
      <c r="H415" s="1"/>
      <c r="I415" s="1"/>
      <c r="J415" s="9"/>
      <c r="K415" s="1"/>
      <c r="L415" s="1"/>
      <c r="M415" s="9"/>
      <c r="N415" s="1"/>
      <c r="O415" s="1"/>
      <c r="P415" s="9"/>
    </row>
    <row r="416" spans="8:16" ht="13" x14ac:dyDescent="0.15">
      <c r="H416" s="1"/>
      <c r="I416" s="1"/>
      <c r="J416" s="9"/>
      <c r="K416" s="1"/>
      <c r="L416" s="1"/>
      <c r="M416" s="9"/>
      <c r="N416" s="1"/>
      <c r="O416" s="1"/>
      <c r="P416" s="9"/>
    </row>
    <row r="417" spans="8:16" ht="13" x14ac:dyDescent="0.15">
      <c r="H417" s="1"/>
      <c r="I417" s="1"/>
      <c r="J417" s="9"/>
      <c r="K417" s="1"/>
      <c r="L417" s="1"/>
      <c r="M417" s="9"/>
      <c r="N417" s="1"/>
      <c r="O417" s="1"/>
      <c r="P417" s="9"/>
    </row>
    <row r="418" spans="8:16" ht="13" x14ac:dyDescent="0.15">
      <c r="H418" s="1"/>
      <c r="I418" s="1"/>
      <c r="J418" s="9"/>
      <c r="K418" s="1"/>
      <c r="L418" s="1"/>
      <c r="M418" s="9"/>
      <c r="N418" s="1"/>
      <c r="O418" s="1"/>
      <c r="P418" s="9"/>
    </row>
    <row r="419" spans="8:16" ht="13" x14ac:dyDescent="0.15">
      <c r="H419" s="1"/>
      <c r="I419" s="1"/>
      <c r="J419" s="9"/>
      <c r="K419" s="1"/>
      <c r="L419" s="1"/>
      <c r="M419" s="9"/>
      <c r="N419" s="1"/>
      <c r="O419" s="1"/>
      <c r="P419" s="9"/>
    </row>
    <row r="420" spans="8:16" ht="13" x14ac:dyDescent="0.15">
      <c r="H420" s="1"/>
      <c r="I420" s="1"/>
      <c r="J420" s="9"/>
      <c r="K420" s="1"/>
      <c r="L420" s="1"/>
      <c r="M420" s="9"/>
      <c r="N420" s="1"/>
      <c r="O420" s="1"/>
      <c r="P420" s="9"/>
    </row>
    <row r="421" spans="8:16" ht="13" x14ac:dyDescent="0.15">
      <c r="H421" s="1"/>
      <c r="I421" s="1"/>
      <c r="J421" s="9"/>
      <c r="K421" s="1"/>
      <c r="L421" s="1"/>
      <c r="M421" s="9"/>
      <c r="N421" s="1"/>
      <c r="O421" s="1"/>
      <c r="P421" s="9"/>
    </row>
    <row r="422" spans="8:16" ht="13" x14ac:dyDescent="0.15">
      <c r="H422" s="1"/>
      <c r="I422" s="1"/>
      <c r="J422" s="9"/>
      <c r="K422" s="1"/>
      <c r="L422" s="1"/>
      <c r="M422" s="9"/>
      <c r="N422" s="1"/>
      <c r="O422" s="1"/>
      <c r="P422" s="9"/>
    </row>
    <row r="423" spans="8:16" ht="13" x14ac:dyDescent="0.15">
      <c r="H423" s="1"/>
      <c r="I423" s="1"/>
      <c r="J423" s="9"/>
      <c r="K423" s="1"/>
      <c r="L423" s="1"/>
      <c r="M423" s="9"/>
      <c r="N423" s="1"/>
      <c r="O423" s="1"/>
      <c r="P423" s="9"/>
    </row>
    <row r="424" spans="8:16" ht="13" x14ac:dyDescent="0.15">
      <c r="H424" s="1"/>
      <c r="I424" s="1"/>
      <c r="J424" s="9"/>
      <c r="K424" s="1"/>
      <c r="L424" s="1"/>
      <c r="M424" s="9"/>
      <c r="N424" s="1"/>
      <c r="O424" s="1"/>
      <c r="P424" s="9"/>
    </row>
    <row r="425" spans="8:16" ht="13" x14ac:dyDescent="0.15">
      <c r="H425" s="1"/>
      <c r="I425" s="1"/>
      <c r="J425" s="9"/>
      <c r="K425" s="1"/>
      <c r="L425" s="1"/>
      <c r="M425" s="9"/>
      <c r="N425" s="1"/>
      <c r="O425" s="1"/>
      <c r="P425" s="9"/>
    </row>
    <row r="426" spans="8:16" ht="13" x14ac:dyDescent="0.15">
      <c r="H426" s="1"/>
      <c r="I426" s="1"/>
      <c r="J426" s="9"/>
      <c r="K426" s="1"/>
      <c r="L426" s="1"/>
      <c r="M426" s="9"/>
      <c r="N426" s="1"/>
      <c r="O426" s="1"/>
      <c r="P426" s="9"/>
    </row>
    <row r="427" spans="8:16" ht="13" x14ac:dyDescent="0.15">
      <c r="H427" s="1"/>
      <c r="I427" s="1"/>
      <c r="J427" s="9"/>
      <c r="K427" s="1"/>
      <c r="L427" s="1"/>
      <c r="M427" s="9"/>
      <c r="N427" s="1"/>
      <c r="O427" s="1"/>
      <c r="P427" s="9"/>
    </row>
    <row r="428" spans="8:16" ht="13" x14ac:dyDescent="0.15">
      <c r="H428" s="1"/>
      <c r="I428" s="1"/>
      <c r="J428" s="9"/>
      <c r="K428" s="1"/>
      <c r="L428" s="1"/>
      <c r="M428" s="9"/>
      <c r="N428" s="1"/>
      <c r="O428" s="1"/>
      <c r="P428" s="9"/>
    </row>
    <row r="429" spans="8:16" ht="13" x14ac:dyDescent="0.15">
      <c r="H429" s="1"/>
      <c r="I429" s="1"/>
      <c r="J429" s="9"/>
      <c r="K429" s="1"/>
      <c r="L429" s="1"/>
      <c r="M429" s="9"/>
      <c r="N429" s="1"/>
      <c r="O429" s="1"/>
      <c r="P429" s="9"/>
    </row>
    <row r="430" spans="8:16" ht="13" x14ac:dyDescent="0.15">
      <c r="H430" s="1"/>
      <c r="I430" s="1"/>
      <c r="J430" s="9"/>
      <c r="K430" s="1"/>
      <c r="L430" s="1"/>
      <c r="M430" s="9"/>
      <c r="N430" s="1"/>
      <c r="O430" s="1"/>
      <c r="P430" s="9"/>
    </row>
    <row r="431" spans="8:16" ht="13" x14ac:dyDescent="0.15">
      <c r="H431" s="1"/>
      <c r="I431" s="1"/>
      <c r="J431" s="9"/>
      <c r="K431" s="1"/>
      <c r="L431" s="1"/>
      <c r="M431" s="9"/>
      <c r="N431" s="1"/>
      <c r="O431" s="1"/>
      <c r="P431" s="9"/>
    </row>
    <row r="432" spans="8:16" ht="13" x14ac:dyDescent="0.15">
      <c r="H432" s="1"/>
      <c r="I432" s="1"/>
      <c r="J432" s="9"/>
      <c r="K432" s="1"/>
      <c r="L432" s="1"/>
      <c r="M432" s="9"/>
      <c r="N432" s="1"/>
      <c r="O432" s="1"/>
      <c r="P432" s="9"/>
    </row>
    <row r="433" spans="8:16" ht="13" x14ac:dyDescent="0.15">
      <c r="H433" s="1"/>
      <c r="I433" s="1"/>
      <c r="J433" s="9"/>
      <c r="K433" s="1"/>
      <c r="L433" s="1"/>
      <c r="M433" s="9"/>
      <c r="N433" s="1"/>
      <c r="O433" s="1"/>
      <c r="P433" s="9"/>
    </row>
    <row r="434" spans="8:16" ht="13" x14ac:dyDescent="0.15">
      <c r="H434" s="1"/>
      <c r="I434" s="1"/>
      <c r="J434" s="9"/>
      <c r="K434" s="1"/>
      <c r="L434" s="1"/>
      <c r="M434" s="9"/>
      <c r="N434" s="1"/>
      <c r="O434" s="1"/>
      <c r="P434" s="9"/>
    </row>
    <row r="435" spans="8:16" ht="13" x14ac:dyDescent="0.15">
      <c r="H435" s="1"/>
      <c r="I435" s="1"/>
      <c r="J435" s="9"/>
      <c r="K435" s="1"/>
      <c r="L435" s="1"/>
      <c r="M435" s="9"/>
      <c r="N435" s="1"/>
      <c r="O435" s="1"/>
      <c r="P435" s="9"/>
    </row>
    <row r="436" spans="8:16" ht="13" x14ac:dyDescent="0.15">
      <c r="H436" s="1"/>
      <c r="I436" s="1"/>
      <c r="J436" s="9"/>
      <c r="K436" s="1"/>
      <c r="L436" s="1"/>
      <c r="M436" s="9"/>
      <c r="N436" s="1"/>
      <c r="O436" s="1"/>
      <c r="P436" s="9"/>
    </row>
    <row r="437" spans="8:16" ht="13" x14ac:dyDescent="0.15">
      <c r="H437" s="1"/>
      <c r="I437" s="1"/>
      <c r="J437" s="9"/>
      <c r="K437" s="1"/>
      <c r="L437" s="1"/>
      <c r="M437" s="9"/>
      <c r="N437" s="1"/>
      <c r="O437" s="1"/>
      <c r="P437" s="9"/>
    </row>
    <row r="438" spans="8:16" ht="13" x14ac:dyDescent="0.15">
      <c r="H438" s="1"/>
      <c r="I438" s="1"/>
      <c r="J438" s="9"/>
      <c r="K438" s="1"/>
      <c r="L438" s="1"/>
      <c r="M438" s="9"/>
      <c r="N438" s="1"/>
      <c r="O438" s="1"/>
      <c r="P438" s="9"/>
    </row>
    <row r="439" spans="8:16" ht="13" x14ac:dyDescent="0.15">
      <c r="H439" s="1"/>
      <c r="I439" s="1"/>
      <c r="J439" s="9"/>
      <c r="K439" s="1"/>
      <c r="L439" s="1"/>
      <c r="M439" s="9"/>
      <c r="N439" s="1"/>
      <c r="O439" s="1"/>
      <c r="P439" s="9"/>
    </row>
    <row r="440" spans="8:16" ht="13" x14ac:dyDescent="0.15">
      <c r="H440" s="1"/>
      <c r="I440" s="1"/>
      <c r="J440" s="9"/>
      <c r="K440" s="1"/>
      <c r="L440" s="1"/>
      <c r="M440" s="9"/>
      <c r="N440" s="1"/>
      <c r="O440" s="1"/>
      <c r="P440" s="9"/>
    </row>
    <row r="441" spans="8:16" ht="13" x14ac:dyDescent="0.15">
      <c r="H441" s="1"/>
      <c r="I441" s="1"/>
      <c r="J441" s="9"/>
      <c r="K441" s="1"/>
      <c r="L441" s="1"/>
      <c r="M441" s="9"/>
      <c r="N441" s="1"/>
      <c r="O441" s="1"/>
      <c r="P441" s="9"/>
    </row>
    <row r="442" spans="8:16" ht="13" x14ac:dyDescent="0.15">
      <c r="H442" s="1"/>
      <c r="I442" s="1"/>
      <c r="J442" s="9"/>
      <c r="K442" s="1"/>
      <c r="L442" s="1"/>
      <c r="M442" s="9"/>
      <c r="N442" s="1"/>
      <c r="O442" s="1"/>
      <c r="P442" s="9"/>
    </row>
    <row r="443" spans="8:16" ht="13" x14ac:dyDescent="0.15">
      <c r="H443" s="1"/>
      <c r="I443" s="1"/>
      <c r="J443" s="9"/>
      <c r="K443" s="1"/>
      <c r="L443" s="1"/>
      <c r="M443" s="9"/>
      <c r="N443" s="1"/>
      <c r="O443" s="1"/>
      <c r="P443" s="9"/>
    </row>
    <row r="444" spans="8:16" ht="13" x14ac:dyDescent="0.15">
      <c r="H444" s="1"/>
      <c r="I444" s="1"/>
      <c r="J444" s="9"/>
      <c r="K444" s="1"/>
      <c r="L444" s="1"/>
      <c r="M444" s="9"/>
      <c r="N444" s="1"/>
      <c r="O444" s="1"/>
      <c r="P444" s="9"/>
    </row>
    <row r="445" spans="8:16" ht="13" x14ac:dyDescent="0.15">
      <c r="H445" s="1"/>
      <c r="I445" s="1"/>
      <c r="J445" s="9"/>
      <c r="K445" s="1"/>
      <c r="L445" s="1"/>
      <c r="M445" s="9"/>
      <c r="N445" s="1"/>
      <c r="O445" s="1"/>
      <c r="P445" s="9"/>
    </row>
    <row r="446" spans="8:16" ht="13" x14ac:dyDescent="0.15">
      <c r="H446" s="1"/>
      <c r="I446" s="1"/>
      <c r="J446" s="9"/>
      <c r="K446" s="1"/>
      <c r="L446" s="1"/>
      <c r="M446" s="9"/>
      <c r="N446" s="1"/>
      <c r="O446" s="1"/>
      <c r="P446" s="9"/>
    </row>
    <row r="447" spans="8:16" ht="13" x14ac:dyDescent="0.15">
      <c r="H447" s="1"/>
      <c r="I447" s="1"/>
      <c r="J447" s="9"/>
      <c r="K447" s="1"/>
      <c r="L447" s="1"/>
      <c r="M447" s="9"/>
      <c r="N447" s="1"/>
      <c r="O447" s="1"/>
      <c r="P447" s="9"/>
    </row>
    <row r="448" spans="8:16" ht="13" x14ac:dyDescent="0.15">
      <c r="H448" s="1"/>
      <c r="I448" s="1"/>
      <c r="J448" s="9"/>
      <c r="K448" s="1"/>
      <c r="L448" s="1"/>
      <c r="M448" s="9"/>
      <c r="N448" s="1"/>
      <c r="O448" s="1"/>
      <c r="P448" s="9"/>
    </row>
    <row r="449" spans="8:16" ht="13" x14ac:dyDescent="0.15">
      <c r="H449" s="1"/>
      <c r="I449" s="1"/>
      <c r="J449" s="9"/>
      <c r="K449" s="1"/>
      <c r="L449" s="1"/>
      <c r="M449" s="9"/>
      <c r="N449" s="1"/>
      <c r="O449" s="1"/>
      <c r="P449" s="9"/>
    </row>
    <row r="450" spans="8:16" ht="13" x14ac:dyDescent="0.15">
      <c r="H450" s="1"/>
      <c r="I450" s="1"/>
      <c r="J450" s="9"/>
      <c r="K450" s="1"/>
      <c r="L450" s="1"/>
      <c r="M450" s="9"/>
      <c r="N450" s="1"/>
      <c r="O450" s="1"/>
      <c r="P450" s="9"/>
    </row>
    <row r="451" spans="8:16" ht="13" x14ac:dyDescent="0.15">
      <c r="H451" s="1"/>
      <c r="I451" s="1"/>
      <c r="J451" s="9"/>
      <c r="K451" s="1"/>
      <c r="L451" s="1"/>
      <c r="M451" s="9"/>
      <c r="N451" s="1"/>
      <c r="O451" s="1"/>
      <c r="P451" s="9"/>
    </row>
    <row r="452" spans="8:16" ht="13" x14ac:dyDescent="0.15">
      <c r="H452" s="1"/>
      <c r="I452" s="1"/>
      <c r="J452" s="9"/>
      <c r="K452" s="1"/>
      <c r="L452" s="1"/>
      <c r="M452" s="9"/>
      <c r="N452" s="1"/>
      <c r="O452" s="1"/>
      <c r="P452" s="9"/>
    </row>
    <row r="453" spans="8:16" ht="13" x14ac:dyDescent="0.15">
      <c r="H453" s="1"/>
      <c r="I453" s="1"/>
      <c r="J453" s="9"/>
      <c r="K453" s="1"/>
      <c r="L453" s="1"/>
      <c r="M453" s="9"/>
      <c r="N453" s="1"/>
      <c r="O453" s="1"/>
      <c r="P453" s="9"/>
    </row>
    <row r="454" spans="8:16" ht="13" x14ac:dyDescent="0.15">
      <c r="H454" s="1"/>
      <c r="I454" s="1"/>
      <c r="J454" s="9"/>
      <c r="K454" s="1"/>
      <c r="L454" s="1"/>
      <c r="M454" s="9"/>
      <c r="N454" s="1"/>
      <c r="O454" s="1"/>
      <c r="P454" s="9"/>
    </row>
    <row r="455" spans="8:16" ht="13" x14ac:dyDescent="0.15">
      <c r="H455" s="1"/>
      <c r="I455" s="1"/>
      <c r="J455" s="9"/>
      <c r="K455" s="1"/>
      <c r="L455" s="1"/>
      <c r="M455" s="9"/>
      <c r="N455" s="1"/>
      <c r="O455" s="1"/>
      <c r="P455" s="9"/>
    </row>
    <row r="456" spans="8:16" ht="13" x14ac:dyDescent="0.15">
      <c r="H456" s="1"/>
      <c r="I456" s="1"/>
      <c r="J456" s="9"/>
      <c r="K456" s="1"/>
      <c r="L456" s="1"/>
      <c r="M456" s="9"/>
      <c r="N456" s="1"/>
      <c r="O456" s="1"/>
      <c r="P456" s="9"/>
    </row>
    <row r="457" spans="8:16" ht="13" x14ac:dyDescent="0.15">
      <c r="H457" s="1"/>
      <c r="I457" s="1"/>
      <c r="J457" s="9"/>
      <c r="K457" s="1"/>
      <c r="L457" s="1"/>
      <c r="M457" s="9"/>
      <c r="N457" s="1"/>
      <c r="O457" s="1"/>
      <c r="P457" s="9"/>
    </row>
    <row r="458" spans="8:16" ht="13" x14ac:dyDescent="0.15">
      <c r="H458" s="1"/>
      <c r="I458" s="1"/>
      <c r="J458" s="9"/>
      <c r="K458" s="1"/>
      <c r="L458" s="1"/>
      <c r="M458" s="9"/>
      <c r="N458" s="1"/>
      <c r="O458" s="1"/>
      <c r="P458" s="9"/>
    </row>
    <row r="459" spans="8:16" ht="13" x14ac:dyDescent="0.15">
      <c r="H459" s="1"/>
      <c r="I459" s="1"/>
      <c r="J459" s="9"/>
      <c r="K459" s="1"/>
      <c r="L459" s="1"/>
      <c r="M459" s="9"/>
      <c r="N459" s="1"/>
      <c r="O459" s="1"/>
      <c r="P459" s="9"/>
    </row>
    <row r="460" spans="8:16" ht="13" x14ac:dyDescent="0.15">
      <c r="H460" s="1"/>
      <c r="I460" s="1"/>
      <c r="J460" s="9"/>
      <c r="K460" s="1"/>
      <c r="L460" s="1"/>
      <c r="M460" s="9"/>
      <c r="N460" s="1"/>
      <c r="O460" s="1"/>
      <c r="P460" s="9"/>
    </row>
    <row r="461" spans="8:16" ht="13" x14ac:dyDescent="0.15">
      <c r="H461" s="1"/>
      <c r="I461" s="1"/>
      <c r="J461" s="9"/>
      <c r="K461" s="1"/>
      <c r="L461" s="1"/>
      <c r="M461" s="9"/>
      <c r="N461" s="1"/>
      <c r="O461" s="1"/>
      <c r="P461" s="9"/>
    </row>
    <row r="462" spans="8:16" ht="13" x14ac:dyDescent="0.15">
      <c r="H462" s="1"/>
      <c r="I462" s="1"/>
      <c r="J462" s="9"/>
      <c r="K462" s="1"/>
      <c r="L462" s="1"/>
      <c r="M462" s="9"/>
      <c r="N462" s="1"/>
      <c r="O462" s="1"/>
      <c r="P462" s="9"/>
    </row>
    <row r="463" spans="8:16" ht="13" x14ac:dyDescent="0.15">
      <c r="H463" s="1"/>
      <c r="I463" s="1"/>
      <c r="J463" s="9"/>
      <c r="K463" s="1"/>
      <c r="L463" s="1"/>
      <c r="M463" s="9"/>
      <c r="N463" s="1"/>
      <c r="O463" s="1"/>
      <c r="P463" s="9"/>
    </row>
    <row r="464" spans="8:16" ht="13" x14ac:dyDescent="0.15">
      <c r="H464" s="1"/>
      <c r="I464" s="1"/>
      <c r="J464" s="9"/>
      <c r="K464" s="1"/>
      <c r="L464" s="1"/>
      <c r="M464" s="9"/>
      <c r="N464" s="1"/>
      <c r="O464" s="1"/>
      <c r="P464" s="9"/>
    </row>
    <row r="465" spans="8:16" ht="13" x14ac:dyDescent="0.15">
      <c r="H465" s="1"/>
      <c r="I465" s="1"/>
      <c r="J465" s="9"/>
      <c r="K465" s="1"/>
      <c r="L465" s="1"/>
      <c r="M465" s="9"/>
      <c r="N465" s="1"/>
      <c r="O465" s="1"/>
      <c r="P465" s="9"/>
    </row>
    <row r="466" spans="8:16" ht="13" x14ac:dyDescent="0.15">
      <c r="H466" s="1"/>
      <c r="I466" s="1"/>
      <c r="J466" s="9"/>
      <c r="K466" s="1"/>
      <c r="L466" s="1"/>
      <c r="M466" s="9"/>
      <c r="N466" s="1"/>
      <c r="O466" s="1"/>
      <c r="P466" s="9"/>
    </row>
    <row r="467" spans="8:16" ht="13" x14ac:dyDescent="0.15">
      <c r="H467" s="1"/>
      <c r="I467" s="1"/>
      <c r="J467" s="9"/>
      <c r="K467" s="1"/>
      <c r="L467" s="1"/>
      <c r="M467" s="9"/>
      <c r="N467" s="1"/>
      <c r="O467" s="1"/>
      <c r="P467" s="9"/>
    </row>
    <row r="468" spans="8:16" ht="13" x14ac:dyDescent="0.15">
      <c r="H468" s="1"/>
      <c r="I468" s="1"/>
      <c r="J468" s="9"/>
      <c r="K468" s="1"/>
      <c r="L468" s="1"/>
      <c r="M468" s="9"/>
      <c r="N468" s="1"/>
      <c r="O468" s="1"/>
      <c r="P468" s="9"/>
    </row>
    <row r="469" spans="8:16" ht="13" x14ac:dyDescent="0.15">
      <c r="H469" s="1"/>
      <c r="I469" s="1"/>
      <c r="J469" s="9"/>
      <c r="K469" s="1"/>
      <c r="L469" s="1"/>
      <c r="M469" s="9"/>
      <c r="N469" s="1"/>
      <c r="O469" s="1"/>
      <c r="P469" s="9"/>
    </row>
    <row r="470" spans="8:16" ht="13" x14ac:dyDescent="0.15">
      <c r="H470" s="1"/>
      <c r="I470" s="1"/>
      <c r="J470" s="9"/>
      <c r="K470" s="1"/>
      <c r="L470" s="1"/>
      <c r="M470" s="9"/>
      <c r="N470" s="1"/>
      <c r="O470" s="1"/>
      <c r="P470" s="9"/>
    </row>
    <row r="471" spans="8:16" ht="13" x14ac:dyDescent="0.15">
      <c r="H471" s="1"/>
      <c r="I471" s="1"/>
      <c r="J471" s="9"/>
      <c r="K471" s="1"/>
      <c r="L471" s="1"/>
      <c r="M471" s="9"/>
      <c r="N471" s="1"/>
      <c r="O471" s="1"/>
      <c r="P471" s="9"/>
    </row>
    <row r="472" spans="8:16" ht="13" x14ac:dyDescent="0.15">
      <c r="H472" s="1"/>
      <c r="I472" s="1"/>
      <c r="J472" s="9"/>
      <c r="K472" s="1"/>
      <c r="L472" s="1"/>
      <c r="M472" s="9"/>
      <c r="N472" s="1"/>
      <c r="O472" s="1"/>
      <c r="P472" s="9"/>
    </row>
    <row r="473" spans="8:16" ht="13" x14ac:dyDescent="0.15">
      <c r="H473" s="1"/>
      <c r="I473" s="1"/>
      <c r="J473" s="9"/>
      <c r="K473" s="1"/>
      <c r="L473" s="1"/>
      <c r="M473" s="9"/>
      <c r="N473" s="1"/>
      <c r="O473" s="1"/>
      <c r="P473" s="9"/>
    </row>
    <row r="474" spans="8:16" ht="13" x14ac:dyDescent="0.15">
      <c r="H474" s="1"/>
      <c r="I474" s="1"/>
      <c r="J474" s="9"/>
      <c r="K474" s="1"/>
      <c r="L474" s="1"/>
      <c r="M474" s="9"/>
      <c r="N474" s="1"/>
      <c r="O474" s="1"/>
      <c r="P474" s="9"/>
    </row>
    <row r="475" spans="8:16" ht="13" x14ac:dyDescent="0.15">
      <c r="H475" s="1"/>
      <c r="I475" s="1"/>
      <c r="J475" s="9"/>
      <c r="K475" s="1"/>
      <c r="L475" s="1"/>
      <c r="M475" s="9"/>
      <c r="N475" s="1"/>
      <c r="O475" s="1"/>
      <c r="P475" s="9"/>
    </row>
    <row r="476" spans="8:16" ht="13" x14ac:dyDescent="0.15">
      <c r="H476" s="1"/>
      <c r="I476" s="1"/>
      <c r="J476" s="9"/>
      <c r="K476" s="1"/>
      <c r="L476" s="1"/>
      <c r="M476" s="9"/>
      <c r="N476" s="1"/>
      <c r="O476" s="1"/>
      <c r="P476" s="9"/>
    </row>
    <row r="477" spans="8:16" ht="13" x14ac:dyDescent="0.15">
      <c r="H477" s="1"/>
      <c r="I477" s="1"/>
      <c r="J477" s="9"/>
      <c r="K477" s="1"/>
      <c r="L477" s="1"/>
      <c r="M477" s="9"/>
      <c r="N477" s="1"/>
      <c r="O477" s="1"/>
      <c r="P477" s="9"/>
    </row>
    <row r="478" spans="8:16" ht="13" x14ac:dyDescent="0.15">
      <c r="H478" s="1"/>
      <c r="I478" s="1"/>
      <c r="J478" s="9"/>
      <c r="K478" s="1"/>
      <c r="L478" s="1"/>
      <c r="M478" s="9"/>
      <c r="N478" s="1"/>
      <c r="O478" s="1"/>
      <c r="P478" s="9"/>
    </row>
    <row r="479" spans="8:16" ht="13" x14ac:dyDescent="0.15">
      <c r="H479" s="1"/>
      <c r="I479" s="1"/>
      <c r="J479" s="9"/>
      <c r="K479" s="1"/>
      <c r="L479" s="1"/>
      <c r="M479" s="9"/>
      <c r="N479" s="1"/>
      <c r="O479" s="1"/>
      <c r="P479" s="9"/>
    </row>
    <row r="480" spans="8:16" ht="13" x14ac:dyDescent="0.15">
      <c r="H480" s="1"/>
      <c r="I480" s="1"/>
      <c r="J480" s="9"/>
      <c r="K480" s="1"/>
      <c r="L480" s="1"/>
      <c r="M480" s="9"/>
      <c r="N480" s="1"/>
      <c r="O480" s="1"/>
      <c r="P480" s="9"/>
    </row>
    <row r="481" spans="8:16" ht="13" x14ac:dyDescent="0.15">
      <c r="H481" s="1"/>
      <c r="I481" s="1"/>
      <c r="J481" s="9"/>
      <c r="K481" s="1"/>
      <c r="L481" s="1"/>
      <c r="M481" s="9"/>
      <c r="N481" s="1"/>
      <c r="O481" s="1"/>
      <c r="P481" s="9"/>
    </row>
    <row r="482" spans="8:16" ht="13" x14ac:dyDescent="0.15">
      <c r="H482" s="1"/>
      <c r="I482" s="1"/>
      <c r="J482" s="9"/>
      <c r="K482" s="1"/>
      <c r="L482" s="1"/>
      <c r="M482" s="9"/>
      <c r="N482" s="1"/>
      <c r="O482" s="1"/>
      <c r="P482" s="9"/>
    </row>
    <row r="483" spans="8:16" ht="13" x14ac:dyDescent="0.15">
      <c r="H483" s="1"/>
      <c r="I483" s="1"/>
      <c r="J483" s="9"/>
      <c r="K483" s="1"/>
      <c r="L483" s="1"/>
      <c r="M483" s="9"/>
      <c r="N483" s="1"/>
      <c r="O483" s="1"/>
      <c r="P483" s="9"/>
    </row>
    <row r="484" spans="8:16" ht="13" x14ac:dyDescent="0.15">
      <c r="H484" s="1"/>
      <c r="I484" s="1"/>
      <c r="J484" s="9"/>
      <c r="K484" s="1"/>
      <c r="L484" s="1"/>
      <c r="M484" s="9"/>
      <c r="N484" s="1"/>
      <c r="O484" s="1"/>
      <c r="P484" s="9"/>
    </row>
    <row r="485" spans="8:16" ht="13" x14ac:dyDescent="0.15">
      <c r="H485" s="1"/>
      <c r="I485" s="1"/>
      <c r="J485" s="9"/>
      <c r="K485" s="1"/>
      <c r="L485" s="1"/>
      <c r="M485" s="9"/>
      <c r="N485" s="1"/>
      <c r="O485" s="1"/>
      <c r="P485" s="9"/>
    </row>
    <row r="486" spans="8:16" ht="13" x14ac:dyDescent="0.15">
      <c r="H486" s="1"/>
      <c r="I486" s="1"/>
      <c r="J486" s="9"/>
      <c r="K486" s="1"/>
      <c r="L486" s="1"/>
      <c r="M486" s="9"/>
      <c r="N486" s="1"/>
      <c r="O486" s="1"/>
      <c r="P486" s="9"/>
    </row>
    <row r="487" spans="8:16" ht="13" x14ac:dyDescent="0.15">
      <c r="H487" s="1"/>
      <c r="I487" s="1"/>
      <c r="J487" s="9"/>
      <c r="K487" s="1"/>
      <c r="L487" s="1"/>
      <c r="M487" s="9"/>
      <c r="N487" s="1"/>
      <c r="O487" s="1"/>
      <c r="P487" s="9"/>
    </row>
    <row r="488" spans="8:16" ht="13" x14ac:dyDescent="0.15">
      <c r="H488" s="1"/>
      <c r="I488" s="1"/>
      <c r="J488" s="9"/>
      <c r="K488" s="1"/>
      <c r="L488" s="1"/>
      <c r="M488" s="9"/>
      <c r="N488" s="1"/>
      <c r="O488" s="1"/>
      <c r="P488" s="9"/>
    </row>
    <row r="489" spans="8:16" ht="13" x14ac:dyDescent="0.15">
      <c r="H489" s="1"/>
      <c r="I489" s="1"/>
      <c r="J489" s="9"/>
      <c r="K489" s="1"/>
      <c r="L489" s="1"/>
      <c r="M489" s="9"/>
      <c r="N489" s="1"/>
      <c r="O489" s="1"/>
      <c r="P489" s="9"/>
    </row>
    <row r="490" spans="8:16" ht="13" x14ac:dyDescent="0.15">
      <c r="H490" s="1"/>
      <c r="I490" s="1"/>
      <c r="J490" s="9"/>
      <c r="K490" s="1"/>
      <c r="L490" s="1"/>
      <c r="M490" s="9"/>
      <c r="N490" s="1"/>
      <c r="O490" s="1"/>
      <c r="P490" s="9"/>
    </row>
    <row r="491" spans="8:16" ht="13" x14ac:dyDescent="0.15">
      <c r="H491" s="1"/>
      <c r="I491" s="1"/>
      <c r="J491" s="9"/>
      <c r="K491" s="1"/>
      <c r="L491" s="1"/>
      <c r="M491" s="9"/>
      <c r="N491" s="1"/>
      <c r="O491" s="1"/>
      <c r="P491" s="9"/>
    </row>
    <row r="492" spans="8:16" ht="13" x14ac:dyDescent="0.15">
      <c r="H492" s="1"/>
      <c r="I492" s="1"/>
      <c r="J492" s="9"/>
      <c r="K492" s="1"/>
      <c r="L492" s="1"/>
      <c r="M492" s="9"/>
      <c r="N492" s="1"/>
      <c r="O492" s="1"/>
      <c r="P492" s="9"/>
    </row>
    <row r="493" spans="8:16" ht="13" x14ac:dyDescent="0.15">
      <c r="H493" s="1"/>
      <c r="I493" s="1"/>
      <c r="J493" s="9"/>
      <c r="K493" s="1"/>
      <c r="L493" s="1"/>
      <c r="M493" s="9"/>
      <c r="N493" s="1"/>
      <c r="O493" s="1"/>
      <c r="P493" s="9"/>
    </row>
    <row r="494" spans="8:16" ht="13" x14ac:dyDescent="0.15">
      <c r="H494" s="1"/>
      <c r="I494" s="1"/>
      <c r="J494" s="9"/>
      <c r="K494" s="1"/>
      <c r="L494" s="1"/>
      <c r="M494" s="9"/>
      <c r="N494" s="1"/>
      <c r="O494" s="1"/>
      <c r="P494" s="9"/>
    </row>
    <row r="495" spans="8:16" ht="13" x14ac:dyDescent="0.15">
      <c r="H495" s="1"/>
      <c r="I495" s="1"/>
      <c r="J495" s="9"/>
      <c r="K495" s="1"/>
      <c r="L495" s="1"/>
      <c r="M495" s="9"/>
      <c r="N495" s="1"/>
      <c r="O495" s="1"/>
      <c r="P495" s="9"/>
    </row>
    <row r="496" spans="8:16" ht="13" x14ac:dyDescent="0.15">
      <c r="H496" s="1"/>
      <c r="I496" s="1"/>
      <c r="J496" s="9"/>
      <c r="K496" s="1"/>
      <c r="L496" s="1"/>
      <c r="M496" s="9"/>
      <c r="N496" s="1"/>
      <c r="O496" s="1"/>
      <c r="P496" s="9"/>
    </row>
    <row r="497" spans="8:16" ht="13" x14ac:dyDescent="0.15">
      <c r="H497" s="1"/>
      <c r="I497" s="1"/>
      <c r="J497" s="9"/>
      <c r="K497" s="1"/>
      <c r="L497" s="1"/>
      <c r="M497" s="9"/>
      <c r="N497" s="1"/>
      <c r="O497" s="1"/>
      <c r="P497" s="9"/>
    </row>
    <row r="498" spans="8:16" ht="13" x14ac:dyDescent="0.15">
      <c r="H498" s="1"/>
      <c r="I498" s="1"/>
      <c r="J498" s="9"/>
      <c r="K498" s="1"/>
      <c r="L498" s="1"/>
      <c r="M498" s="9"/>
      <c r="N498" s="1"/>
      <c r="O498" s="1"/>
      <c r="P498" s="9"/>
    </row>
    <row r="499" spans="8:16" ht="13" x14ac:dyDescent="0.15">
      <c r="H499" s="1"/>
      <c r="I499" s="1"/>
      <c r="J499" s="9"/>
      <c r="K499" s="1"/>
      <c r="L499" s="1"/>
      <c r="M499" s="9"/>
      <c r="N499" s="1"/>
      <c r="O499" s="1"/>
      <c r="P499" s="9"/>
    </row>
    <row r="500" spans="8:16" ht="13" x14ac:dyDescent="0.15">
      <c r="H500" s="1"/>
      <c r="I500" s="1"/>
      <c r="J500" s="9"/>
      <c r="K500" s="1"/>
      <c r="L500" s="1"/>
      <c r="M500" s="9"/>
      <c r="N500" s="1"/>
      <c r="O500" s="1"/>
      <c r="P500" s="9"/>
    </row>
    <row r="501" spans="8:16" ht="13" x14ac:dyDescent="0.15">
      <c r="H501" s="1"/>
      <c r="I501" s="1"/>
      <c r="J501" s="9"/>
      <c r="K501" s="1"/>
      <c r="L501" s="1"/>
      <c r="M501" s="9"/>
      <c r="N501" s="1"/>
      <c r="O501" s="1"/>
      <c r="P501" s="9"/>
    </row>
    <row r="502" spans="8:16" ht="13" x14ac:dyDescent="0.15">
      <c r="H502" s="1"/>
      <c r="I502" s="1"/>
      <c r="J502" s="9"/>
      <c r="K502" s="1"/>
      <c r="L502" s="1"/>
      <c r="M502" s="9"/>
      <c r="N502" s="1"/>
      <c r="O502" s="1"/>
      <c r="P502" s="9"/>
    </row>
    <row r="503" spans="8:16" ht="13" x14ac:dyDescent="0.15">
      <c r="H503" s="1"/>
      <c r="I503" s="1"/>
      <c r="J503" s="9"/>
      <c r="K503" s="1"/>
      <c r="L503" s="1"/>
      <c r="M503" s="9"/>
      <c r="N503" s="1"/>
      <c r="O503" s="1"/>
      <c r="P503" s="9"/>
    </row>
    <row r="504" spans="8:16" ht="13" x14ac:dyDescent="0.15">
      <c r="H504" s="1"/>
      <c r="I504" s="1"/>
      <c r="J504" s="9"/>
      <c r="K504" s="1"/>
      <c r="L504" s="1"/>
      <c r="M504" s="9"/>
      <c r="N504" s="1"/>
      <c r="O504" s="1"/>
      <c r="P504" s="9"/>
    </row>
    <row r="505" spans="8:16" ht="13" x14ac:dyDescent="0.15">
      <c r="H505" s="1"/>
      <c r="I505" s="1"/>
      <c r="J505" s="9"/>
      <c r="K505" s="1"/>
      <c r="L505" s="1"/>
      <c r="M505" s="9"/>
      <c r="N505" s="1"/>
      <c r="O505" s="1"/>
      <c r="P505" s="9"/>
    </row>
    <row r="506" spans="8:16" ht="13" x14ac:dyDescent="0.15">
      <c r="H506" s="1"/>
      <c r="I506" s="1"/>
      <c r="J506" s="9"/>
      <c r="K506" s="1"/>
      <c r="L506" s="1"/>
      <c r="M506" s="9"/>
      <c r="N506" s="1"/>
      <c r="O506" s="1"/>
      <c r="P506" s="9"/>
    </row>
    <row r="507" spans="8:16" ht="13" x14ac:dyDescent="0.15">
      <c r="H507" s="1"/>
      <c r="I507" s="1"/>
      <c r="J507" s="9"/>
      <c r="K507" s="1"/>
      <c r="L507" s="1"/>
      <c r="M507" s="9"/>
      <c r="N507" s="1"/>
      <c r="O507" s="1"/>
      <c r="P507" s="9"/>
    </row>
    <row r="508" spans="8:16" ht="13" x14ac:dyDescent="0.15">
      <c r="H508" s="1"/>
      <c r="I508" s="1"/>
      <c r="J508" s="9"/>
      <c r="K508" s="1"/>
      <c r="L508" s="1"/>
      <c r="M508" s="9"/>
      <c r="N508" s="1"/>
      <c r="O508" s="1"/>
      <c r="P508" s="9"/>
    </row>
    <row r="509" spans="8:16" ht="13" x14ac:dyDescent="0.15">
      <c r="H509" s="1"/>
      <c r="I509" s="1"/>
      <c r="J509" s="9"/>
      <c r="K509" s="1"/>
      <c r="L509" s="1"/>
      <c r="M509" s="9"/>
      <c r="N509" s="1"/>
      <c r="O509" s="1"/>
      <c r="P509" s="9"/>
    </row>
    <row r="510" spans="8:16" ht="13" x14ac:dyDescent="0.15">
      <c r="H510" s="1"/>
      <c r="I510" s="1"/>
      <c r="J510" s="9"/>
      <c r="K510" s="1"/>
      <c r="L510" s="1"/>
      <c r="M510" s="9"/>
      <c r="N510" s="1"/>
      <c r="O510" s="1"/>
      <c r="P510" s="9"/>
    </row>
    <row r="511" spans="8:16" ht="13" x14ac:dyDescent="0.15">
      <c r="H511" s="1"/>
      <c r="I511" s="1"/>
      <c r="J511" s="9"/>
      <c r="K511" s="1"/>
      <c r="L511" s="1"/>
      <c r="M511" s="9"/>
      <c r="N511" s="1"/>
      <c r="O511" s="1"/>
      <c r="P511" s="9"/>
    </row>
    <row r="512" spans="8:16" ht="13" x14ac:dyDescent="0.15">
      <c r="H512" s="1"/>
      <c r="I512" s="1"/>
      <c r="J512" s="9"/>
      <c r="K512" s="1"/>
      <c r="L512" s="1"/>
      <c r="M512" s="9"/>
      <c r="N512" s="1"/>
      <c r="O512" s="1"/>
      <c r="P512" s="9"/>
    </row>
    <row r="513" spans="8:16" ht="13" x14ac:dyDescent="0.15">
      <c r="H513" s="1"/>
      <c r="I513" s="1"/>
      <c r="J513" s="9"/>
      <c r="K513" s="1"/>
      <c r="L513" s="1"/>
      <c r="M513" s="9"/>
      <c r="N513" s="1"/>
      <c r="O513" s="1"/>
      <c r="P513" s="9"/>
    </row>
    <row r="514" spans="8:16" ht="13" x14ac:dyDescent="0.15">
      <c r="H514" s="1"/>
      <c r="I514" s="1"/>
      <c r="J514" s="9"/>
      <c r="K514" s="1"/>
      <c r="L514" s="1"/>
      <c r="M514" s="9"/>
      <c r="N514" s="1"/>
      <c r="O514" s="1"/>
      <c r="P514" s="9"/>
    </row>
    <row r="515" spans="8:16" ht="13" x14ac:dyDescent="0.15">
      <c r="H515" s="1"/>
      <c r="I515" s="1"/>
      <c r="J515" s="9"/>
      <c r="K515" s="1"/>
      <c r="L515" s="1"/>
      <c r="M515" s="9"/>
      <c r="N515" s="1"/>
      <c r="O515" s="1"/>
      <c r="P515" s="9"/>
    </row>
    <row r="516" spans="8:16" ht="13" x14ac:dyDescent="0.15">
      <c r="H516" s="1"/>
      <c r="I516" s="1"/>
      <c r="J516" s="9"/>
      <c r="K516" s="1"/>
      <c r="L516" s="1"/>
      <c r="M516" s="9"/>
      <c r="N516" s="1"/>
      <c r="O516" s="1"/>
      <c r="P516" s="9"/>
    </row>
    <row r="517" spans="8:16" ht="13" x14ac:dyDescent="0.15">
      <c r="H517" s="1"/>
      <c r="I517" s="1"/>
      <c r="J517" s="9"/>
      <c r="K517" s="1"/>
      <c r="L517" s="1"/>
      <c r="M517" s="9"/>
      <c r="N517" s="1"/>
      <c r="O517" s="1"/>
      <c r="P517" s="9"/>
    </row>
    <row r="518" spans="8:16" ht="13" x14ac:dyDescent="0.15">
      <c r="H518" s="1"/>
      <c r="I518" s="1"/>
      <c r="J518" s="9"/>
      <c r="K518" s="1"/>
      <c r="L518" s="1"/>
      <c r="M518" s="9"/>
      <c r="N518" s="1"/>
      <c r="O518" s="1"/>
      <c r="P518" s="9"/>
    </row>
    <row r="519" spans="8:16" ht="13" x14ac:dyDescent="0.15">
      <c r="H519" s="1"/>
      <c r="I519" s="1"/>
      <c r="J519" s="9"/>
      <c r="K519" s="1"/>
      <c r="L519" s="1"/>
      <c r="M519" s="9"/>
      <c r="N519" s="1"/>
      <c r="O519" s="1"/>
      <c r="P519" s="9"/>
    </row>
    <row r="520" spans="8:16" ht="13" x14ac:dyDescent="0.15">
      <c r="H520" s="1"/>
      <c r="I520" s="1"/>
      <c r="J520" s="9"/>
      <c r="K520" s="1"/>
      <c r="L520" s="1"/>
      <c r="M520" s="9"/>
      <c r="N520" s="1"/>
      <c r="O520" s="1"/>
      <c r="P520" s="9"/>
    </row>
    <row r="521" spans="8:16" ht="13" x14ac:dyDescent="0.15">
      <c r="H521" s="1"/>
      <c r="I521" s="1"/>
      <c r="J521" s="9"/>
      <c r="K521" s="1"/>
      <c r="L521" s="1"/>
      <c r="M521" s="9"/>
      <c r="N521" s="1"/>
      <c r="O521" s="1"/>
      <c r="P521" s="9"/>
    </row>
    <row r="522" spans="8:16" ht="13" x14ac:dyDescent="0.15">
      <c r="H522" s="1"/>
      <c r="I522" s="1"/>
      <c r="J522" s="9"/>
      <c r="K522" s="1"/>
      <c r="L522" s="1"/>
      <c r="M522" s="9"/>
      <c r="N522" s="1"/>
      <c r="O522" s="1"/>
      <c r="P522" s="9"/>
    </row>
    <row r="523" spans="8:16" ht="13" x14ac:dyDescent="0.15">
      <c r="H523" s="1"/>
      <c r="I523" s="1"/>
      <c r="J523" s="9"/>
      <c r="K523" s="1"/>
      <c r="L523" s="1"/>
      <c r="M523" s="9"/>
      <c r="N523" s="1"/>
      <c r="O523" s="1"/>
      <c r="P523" s="9"/>
    </row>
    <row r="524" spans="8:16" ht="13" x14ac:dyDescent="0.15">
      <c r="H524" s="1"/>
      <c r="I524" s="1"/>
      <c r="J524" s="9"/>
      <c r="K524" s="1"/>
      <c r="L524" s="1"/>
      <c r="M524" s="9"/>
      <c r="N524" s="1"/>
      <c r="O524" s="1"/>
      <c r="P524" s="9"/>
    </row>
    <row r="525" spans="8:16" ht="13" x14ac:dyDescent="0.15">
      <c r="H525" s="1"/>
      <c r="I525" s="1"/>
      <c r="J525" s="9"/>
      <c r="K525" s="1"/>
      <c r="L525" s="1"/>
      <c r="M525" s="9"/>
      <c r="N525" s="1"/>
      <c r="O525" s="1"/>
      <c r="P525" s="9"/>
    </row>
    <row r="526" spans="8:16" ht="13" x14ac:dyDescent="0.15">
      <c r="H526" s="1"/>
      <c r="I526" s="1"/>
      <c r="J526" s="9"/>
      <c r="K526" s="1"/>
      <c r="L526" s="1"/>
      <c r="M526" s="9"/>
      <c r="N526" s="1"/>
      <c r="O526" s="1"/>
      <c r="P526" s="9"/>
    </row>
    <row r="527" spans="8:16" ht="13" x14ac:dyDescent="0.15">
      <c r="H527" s="1"/>
      <c r="I527" s="1"/>
      <c r="J527" s="9"/>
      <c r="K527" s="1"/>
      <c r="L527" s="1"/>
      <c r="M527" s="9"/>
      <c r="N527" s="1"/>
      <c r="O527" s="1"/>
      <c r="P527" s="9"/>
    </row>
    <row r="528" spans="8:16" ht="13" x14ac:dyDescent="0.15">
      <c r="H528" s="1"/>
      <c r="I528" s="1"/>
      <c r="J528" s="9"/>
      <c r="K528" s="1"/>
      <c r="L528" s="1"/>
      <c r="M528" s="9"/>
      <c r="N528" s="1"/>
      <c r="O528" s="1"/>
      <c r="P528" s="9"/>
    </row>
    <row r="529" spans="8:16" ht="13" x14ac:dyDescent="0.15">
      <c r="H529" s="1"/>
      <c r="I529" s="1"/>
      <c r="J529" s="9"/>
      <c r="K529" s="1"/>
      <c r="L529" s="1"/>
      <c r="M529" s="9"/>
      <c r="N529" s="1"/>
      <c r="O529" s="1"/>
      <c r="P529" s="9"/>
    </row>
    <row r="530" spans="8:16" ht="13" x14ac:dyDescent="0.15">
      <c r="H530" s="1"/>
      <c r="I530" s="1"/>
      <c r="J530" s="9"/>
      <c r="K530" s="1"/>
      <c r="L530" s="1"/>
      <c r="M530" s="9"/>
      <c r="N530" s="1"/>
      <c r="O530" s="1"/>
      <c r="P530" s="9"/>
    </row>
    <row r="531" spans="8:16" ht="13" x14ac:dyDescent="0.15">
      <c r="H531" s="1"/>
      <c r="I531" s="1"/>
      <c r="J531" s="9"/>
      <c r="K531" s="1"/>
      <c r="L531" s="1"/>
      <c r="M531" s="9"/>
      <c r="N531" s="1"/>
      <c r="O531" s="1"/>
      <c r="P531" s="9"/>
    </row>
    <row r="532" spans="8:16" ht="13" x14ac:dyDescent="0.15">
      <c r="H532" s="1"/>
      <c r="I532" s="1"/>
      <c r="J532" s="9"/>
      <c r="K532" s="1"/>
      <c r="L532" s="1"/>
      <c r="M532" s="9"/>
      <c r="N532" s="1"/>
      <c r="O532" s="1"/>
      <c r="P532" s="9"/>
    </row>
    <row r="533" spans="8:16" ht="13" x14ac:dyDescent="0.15">
      <c r="H533" s="1"/>
      <c r="I533" s="1"/>
      <c r="J533" s="9"/>
      <c r="K533" s="1"/>
      <c r="L533" s="1"/>
      <c r="M533" s="9"/>
      <c r="N533" s="1"/>
      <c r="O533" s="1"/>
      <c r="P533" s="9"/>
    </row>
    <row r="534" spans="8:16" ht="13" x14ac:dyDescent="0.15">
      <c r="H534" s="1"/>
      <c r="I534" s="1"/>
      <c r="J534" s="9"/>
      <c r="K534" s="1"/>
      <c r="L534" s="1"/>
      <c r="M534" s="9"/>
      <c r="N534" s="1"/>
      <c r="O534" s="1"/>
      <c r="P534" s="9"/>
    </row>
    <row r="535" spans="8:16" ht="13" x14ac:dyDescent="0.15">
      <c r="H535" s="1"/>
      <c r="I535" s="1"/>
      <c r="J535" s="9"/>
      <c r="K535" s="1"/>
      <c r="L535" s="1"/>
      <c r="M535" s="9"/>
      <c r="N535" s="1"/>
      <c r="O535" s="1"/>
      <c r="P535" s="9"/>
    </row>
    <row r="536" spans="8:16" ht="13" x14ac:dyDescent="0.15">
      <c r="H536" s="1"/>
      <c r="I536" s="1"/>
      <c r="J536" s="9"/>
      <c r="K536" s="1"/>
      <c r="L536" s="1"/>
      <c r="M536" s="9"/>
      <c r="N536" s="1"/>
      <c r="O536" s="1"/>
      <c r="P536" s="9"/>
    </row>
    <row r="537" spans="8:16" ht="13" x14ac:dyDescent="0.15">
      <c r="H537" s="1"/>
      <c r="I537" s="1"/>
      <c r="J537" s="9"/>
      <c r="K537" s="1"/>
      <c r="L537" s="1"/>
      <c r="M537" s="9"/>
      <c r="N537" s="1"/>
      <c r="O537" s="1"/>
      <c r="P537" s="9"/>
    </row>
    <row r="538" spans="8:16" ht="13" x14ac:dyDescent="0.15">
      <c r="H538" s="1"/>
      <c r="I538" s="1"/>
      <c r="J538" s="9"/>
      <c r="K538" s="1"/>
      <c r="L538" s="1"/>
      <c r="M538" s="9"/>
      <c r="N538" s="1"/>
      <c r="O538" s="1"/>
      <c r="P538" s="9"/>
    </row>
    <row r="539" spans="8:16" ht="13" x14ac:dyDescent="0.15">
      <c r="H539" s="1"/>
      <c r="I539" s="1"/>
      <c r="J539" s="9"/>
      <c r="K539" s="1"/>
      <c r="L539" s="1"/>
      <c r="M539" s="9"/>
      <c r="N539" s="1"/>
      <c r="O539" s="1"/>
      <c r="P539" s="9"/>
    </row>
    <row r="540" spans="8:16" ht="13" x14ac:dyDescent="0.15">
      <c r="H540" s="1"/>
      <c r="I540" s="1"/>
      <c r="J540" s="9"/>
      <c r="K540" s="1"/>
      <c r="L540" s="1"/>
      <c r="M540" s="9"/>
      <c r="N540" s="1"/>
      <c r="O540" s="1"/>
      <c r="P540" s="9"/>
    </row>
    <row r="541" spans="8:16" ht="13" x14ac:dyDescent="0.15">
      <c r="H541" s="1"/>
      <c r="I541" s="1"/>
      <c r="J541" s="9"/>
      <c r="K541" s="1"/>
      <c r="L541" s="1"/>
      <c r="M541" s="9"/>
      <c r="N541" s="1"/>
      <c r="O541" s="1"/>
      <c r="P541" s="9"/>
    </row>
    <row r="542" spans="8:16" ht="13" x14ac:dyDescent="0.15">
      <c r="H542" s="1"/>
      <c r="I542" s="1"/>
      <c r="J542" s="9"/>
      <c r="K542" s="1"/>
      <c r="L542" s="1"/>
      <c r="M542" s="9"/>
      <c r="N542" s="1"/>
      <c r="O542" s="1"/>
      <c r="P542" s="9"/>
    </row>
    <row r="543" spans="8:16" ht="13" x14ac:dyDescent="0.15">
      <c r="H543" s="1"/>
      <c r="I543" s="1"/>
      <c r="J543" s="9"/>
      <c r="K543" s="1"/>
      <c r="L543" s="1"/>
      <c r="M543" s="9"/>
      <c r="N543" s="1"/>
      <c r="O543" s="1"/>
      <c r="P543" s="9"/>
    </row>
    <row r="544" spans="8:16" ht="13" x14ac:dyDescent="0.15">
      <c r="H544" s="1"/>
      <c r="I544" s="1"/>
      <c r="J544" s="9"/>
      <c r="K544" s="1"/>
      <c r="L544" s="1"/>
      <c r="M544" s="9"/>
      <c r="N544" s="1"/>
      <c r="O544" s="1"/>
      <c r="P544" s="9"/>
    </row>
    <row r="545" spans="8:16" ht="13" x14ac:dyDescent="0.15">
      <c r="H545" s="1"/>
      <c r="I545" s="1"/>
      <c r="J545" s="9"/>
      <c r="K545" s="1"/>
      <c r="L545" s="1"/>
      <c r="M545" s="9"/>
      <c r="N545" s="1"/>
      <c r="O545" s="1"/>
      <c r="P545" s="9"/>
    </row>
    <row r="546" spans="8:16" ht="13" x14ac:dyDescent="0.15">
      <c r="H546" s="1"/>
      <c r="I546" s="1"/>
      <c r="J546" s="9"/>
      <c r="K546" s="1"/>
      <c r="L546" s="1"/>
      <c r="M546" s="9"/>
      <c r="N546" s="1"/>
      <c r="O546" s="1"/>
      <c r="P546" s="9"/>
    </row>
    <row r="547" spans="8:16" ht="13" x14ac:dyDescent="0.15">
      <c r="H547" s="1"/>
      <c r="I547" s="1"/>
      <c r="J547" s="9"/>
      <c r="K547" s="1"/>
      <c r="L547" s="1"/>
      <c r="M547" s="9"/>
      <c r="N547" s="1"/>
      <c r="O547" s="1"/>
      <c r="P547" s="9"/>
    </row>
    <row r="548" spans="8:16" ht="13" x14ac:dyDescent="0.15">
      <c r="H548" s="1"/>
      <c r="I548" s="1"/>
      <c r="J548" s="9"/>
      <c r="K548" s="1"/>
      <c r="L548" s="1"/>
      <c r="M548" s="9"/>
      <c r="N548" s="1"/>
      <c r="O548" s="1"/>
      <c r="P548" s="9"/>
    </row>
    <row r="549" spans="8:16" ht="13" x14ac:dyDescent="0.15">
      <c r="H549" s="1"/>
      <c r="I549" s="1"/>
      <c r="J549" s="9"/>
      <c r="K549" s="1"/>
      <c r="L549" s="1"/>
      <c r="M549" s="9"/>
      <c r="N549" s="1"/>
      <c r="O549" s="1"/>
      <c r="P549" s="9"/>
    </row>
    <row r="550" spans="8:16" ht="13" x14ac:dyDescent="0.15">
      <c r="H550" s="1"/>
      <c r="I550" s="1"/>
      <c r="J550" s="9"/>
      <c r="K550" s="1"/>
      <c r="L550" s="1"/>
      <c r="M550" s="9"/>
      <c r="N550" s="1"/>
      <c r="O550" s="1"/>
      <c r="P550" s="9"/>
    </row>
    <row r="551" spans="8:16" ht="13" x14ac:dyDescent="0.15">
      <c r="H551" s="1"/>
      <c r="I551" s="1"/>
      <c r="J551" s="9"/>
      <c r="K551" s="1"/>
      <c r="L551" s="1"/>
      <c r="M551" s="9"/>
      <c r="N551" s="1"/>
      <c r="O551" s="1"/>
      <c r="P551" s="9"/>
    </row>
    <row r="552" spans="8:16" ht="13" x14ac:dyDescent="0.15">
      <c r="H552" s="1"/>
      <c r="I552" s="1"/>
      <c r="J552" s="9"/>
      <c r="K552" s="1"/>
      <c r="L552" s="1"/>
      <c r="M552" s="9"/>
      <c r="N552" s="1"/>
      <c r="O552" s="1"/>
      <c r="P552" s="9"/>
    </row>
    <row r="553" spans="8:16" ht="13" x14ac:dyDescent="0.15">
      <c r="H553" s="1"/>
      <c r="I553" s="1"/>
      <c r="J553" s="9"/>
      <c r="K553" s="1"/>
      <c r="L553" s="1"/>
      <c r="M553" s="9"/>
      <c r="N553" s="1"/>
      <c r="O553" s="1"/>
      <c r="P553" s="9"/>
    </row>
    <row r="554" spans="8:16" ht="13" x14ac:dyDescent="0.15">
      <c r="H554" s="1"/>
      <c r="I554" s="1"/>
      <c r="J554" s="9"/>
      <c r="K554" s="1"/>
      <c r="L554" s="1"/>
      <c r="M554" s="9"/>
      <c r="N554" s="1"/>
      <c r="O554" s="1"/>
      <c r="P554" s="9"/>
    </row>
    <row r="555" spans="8:16" ht="13" x14ac:dyDescent="0.15">
      <c r="H555" s="1"/>
      <c r="I555" s="1"/>
      <c r="J555" s="9"/>
      <c r="K555" s="1"/>
      <c r="L555" s="1"/>
      <c r="M555" s="9"/>
      <c r="N555" s="1"/>
      <c r="O555" s="1"/>
      <c r="P555" s="9"/>
    </row>
    <row r="556" spans="8:16" ht="13" x14ac:dyDescent="0.15">
      <c r="H556" s="1"/>
      <c r="I556" s="1"/>
      <c r="J556" s="9"/>
      <c r="K556" s="1"/>
      <c r="L556" s="1"/>
      <c r="M556" s="9"/>
      <c r="N556" s="1"/>
      <c r="O556" s="1"/>
      <c r="P556" s="9"/>
    </row>
    <row r="557" spans="8:16" ht="13" x14ac:dyDescent="0.15">
      <c r="H557" s="1"/>
      <c r="I557" s="1"/>
      <c r="J557" s="9"/>
      <c r="K557" s="1"/>
      <c r="L557" s="1"/>
      <c r="M557" s="9"/>
      <c r="N557" s="1"/>
      <c r="O557" s="1"/>
      <c r="P557" s="9"/>
    </row>
    <row r="558" spans="8:16" ht="13" x14ac:dyDescent="0.15">
      <c r="H558" s="1"/>
      <c r="I558" s="1"/>
      <c r="J558" s="9"/>
      <c r="K558" s="1"/>
      <c r="L558" s="1"/>
      <c r="M558" s="9"/>
      <c r="N558" s="1"/>
      <c r="O558" s="1"/>
      <c r="P558" s="9"/>
    </row>
    <row r="559" spans="8:16" ht="13" x14ac:dyDescent="0.15">
      <c r="H559" s="1"/>
      <c r="I559" s="1"/>
      <c r="J559" s="9"/>
      <c r="K559" s="1"/>
      <c r="L559" s="1"/>
      <c r="M559" s="9"/>
      <c r="N559" s="1"/>
      <c r="O559" s="1"/>
      <c r="P559" s="9"/>
    </row>
    <row r="560" spans="8:16" ht="13" x14ac:dyDescent="0.15">
      <c r="H560" s="1"/>
      <c r="I560" s="1"/>
      <c r="J560" s="9"/>
      <c r="K560" s="1"/>
      <c r="L560" s="1"/>
      <c r="M560" s="9"/>
      <c r="N560" s="1"/>
      <c r="O560" s="1"/>
      <c r="P560" s="9"/>
    </row>
    <row r="561" spans="8:16" ht="13" x14ac:dyDescent="0.15">
      <c r="H561" s="1"/>
      <c r="I561" s="1"/>
      <c r="J561" s="9"/>
      <c r="K561" s="1"/>
      <c r="L561" s="1"/>
      <c r="M561" s="9"/>
      <c r="N561" s="1"/>
      <c r="O561" s="1"/>
      <c r="P561" s="9"/>
    </row>
    <row r="562" spans="8:16" ht="13" x14ac:dyDescent="0.15">
      <c r="H562" s="1"/>
      <c r="I562" s="1"/>
      <c r="J562" s="9"/>
      <c r="K562" s="1"/>
      <c r="L562" s="1"/>
      <c r="M562" s="9"/>
      <c r="N562" s="1"/>
      <c r="O562" s="1"/>
      <c r="P562" s="9"/>
    </row>
    <row r="563" spans="8:16" ht="13" x14ac:dyDescent="0.15">
      <c r="H563" s="1"/>
      <c r="I563" s="1"/>
      <c r="J563" s="9"/>
      <c r="K563" s="1"/>
      <c r="L563" s="1"/>
      <c r="M563" s="9"/>
      <c r="N563" s="1"/>
      <c r="O563" s="1"/>
      <c r="P563" s="9"/>
    </row>
    <row r="564" spans="8:16" ht="13" x14ac:dyDescent="0.15">
      <c r="H564" s="1"/>
      <c r="I564" s="1"/>
      <c r="J564" s="9"/>
      <c r="K564" s="1"/>
      <c r="L564" s="1"/>
      <c r="M564" s="9"/>
      <c r="N564" s="1"/>
      <c r="O564" s="1"/>
      <c r="P564" s="9"/>
    </row>
    <row r="565" spans="8:16" ht="13" x14ac:dyDescent="0.15">
      <c r="H565" s="1"/>
      <c r="I565" s="1"/>
      <c r="J565" s="9"/>
      <c r="K565" s="1"/>
      <c r="L565" s="1"/>
      <c r="M565" s="9"/>
      <c r="N565" s="1"/>
      <c r="O565" s="1"/>
      <c r="P565" s="9"/>
    </row>
    <row r="566" spans="8:16" ht="13" x14ac:dyDescent="0.15">
      <c r="H566" s="1"/>
      <c r="I566" s="1"/>
      <c r="J566" s="9"/>
      <c r="K566" s="1"/>
      <c r="L566" s="1"/>
      <c r="M566" s="9"/>
      <c r="N566" s="1"/>
      <c r="O566" s="1"/>
      <c r="P566" s="9"/>
    </row>
    <row r="567" spans="8:16" ht="13" x14ac:dyDescent="0.15">
      <c r="H567" s="1"/>
      <c r="I567" s="1"/>
      <c r="J567" s="9"/>
      <c r="K567" s="1"/>
      <c r="L567" s="1"/>
      <c r="M567" s="9"/>
      <c r="N567" s="1"/>
      <c r="O567" s="1"/>
      <c r="P567" s="9"/>
    </row>
    <row r="568" spans="8:16" ht="13" x14ac:dyDescent="0.15">
      <c r="H568" s="1"/>
      <c r="I568" s="1"/>
      <c r="J568" s="9"/>
      <c r="K568" s="1"/>
      <c r="L568" s="1"/>
      <c r="M568" s="9"/>
      <c r="N568" s="1"/>
      <c r="O568" s="1"/>
      <c r="P568" s="9"/>
    </row>
    <row r="569" spans="8:16" ht="13" x14ac:dyDescent="0.15">
      <c r="H569" s="1"/>
      <c r="I569" s="1"/>
      <c r="J569" s="9"/>
      <c r="K569" s="1"/>
      <c r="L569" s="1"/>
      <c r="M569" s="9"/>
      <c r="N569" s="1"/>
      <c r="O569" s="1"/>
      <c r="P569" s="9"/>
    </row>
    <row r="570" spans="8:16" ht="13" x14ac:dyDescent="0.15">
      <c r="H570" s="1"/>
      <c r="I570" s="1"/>
      <c r="J570" s="9"/>
      <c r="K570" s="1"/>
      <c r="L570" s="1"/>
      <c r="M570" s="9"/>
      <c r="N570" s="1"/>
      <c r="O570" s="1"/>
      <c r="P570" s="9"/>
    </row>
    <row r="571" spans="8:16" ht="13" x14ac:dyDescent="0.15">
      <c r="H571" s="1"/>
      <c r="I571" s="1"/>
      <c r="J571" s="9"/>
      <c r="K571" s="1"/>
      <c r="L571" s="1"/>
      <c r="M571" s="9"/>
      <c r="N571" s="1"/>
      <c r="O571" s="1"/>
      <c r="P571" s="9"/>
    </row>
    <row r="572" spans="8:16" ht="13" x14ac:dyDescent="0.15">
      <c r="H572" s="1"/>
      <c r="I572" s="1"/>
      <c r="J572" s="9"/>
      <c r="K572" s="1"/>
      <c r="L572" s="1"/>
      <c r="M572" s="9"/>
      <c r="N572" s="1"/>
      <c r="O572" s="1"/>
      <c r="P572" s="9"/>
    </row>
    <row r="573" spans="8:16" ht="13" x14ac:dyDescent="0.15">
      <c r="H573" s="1"/>
      <c r="I573" s="1"/>
      <c r="J573" s="9"/>
      <c r="K573" s="1"/>
      <c r="L573" s="1"/>
      <c r="M573" s="9"/>
      <c r="N573" s="1"/>
      <c r="O573" s="1"/>
      <c r="P573" s="9"/>
    </row>
    <row r="574" spans="8:16" ht="13" x14ac:dyDescent="0.15">
      <c r="H574" s="1"/>
      <c r="I574" s="1"/>
      <c r="J574" s="9"/>
      <c r="K574" s="1"/>
      <c r="L574" s="1"/>
      <c r="M574" s="9"/>
      <c r="N574" s="1"/>
      <c r="O574" s="1"/>
      <c r="P574" s="9"/>
    </row>
    <row r="575" spans="8:16" ht="13" x14ac:dyDescent="0.15">
      <c r="H575" s="1"/>
      <c r="I575" s="1"/>
      <c r="J575" s="9"/>
      <c r="K575" s="1"/>
      <c r="L575" s="1"/>
      <c r="M575" s="9"/>
      <c r="N575" s="1"/>
      <c r="O575" s="1"/>
      <c r="P575" s="9"/>
    </row>
    <row r="576" spans="8:16" ht="13" x14ac:dyDescent="0.15">
      <c r="H576" s="1"/>
      <c r="I576" s="1"/>
      <c r="J576" s="9"/>
      <c r="K576" s="1"/>
      <c r="L576" s="1"/>
      <c r="M576" s="9"/>
      <c r="N576" s="1"/>
      <c r="O576" s="1"/>
      <c r="P576" s="9"/>
    </row>
    <row r="577" spans="8:16" ht="13" x14ac:dyDescent="0.15">
      <c r="H577" s="1"/>
      <c r="I577" s="1"/>
      <c r="J577" s="9"/>
      <c r="K577" s="1"/>
      <c r="L577" s="1"/>
      <c r="M577" s="9"/>
      <c r="N577" s="1"/>
      <c r="O577" s="1"/>
      <c r="P577" s="9"/>
    </row>
    <row r="578" spans="8:16" ht="13" x14ac:dyDescent="0.15">
      <c r="H578" s="1"/>
      <c r="I578" s="1"/>
      <c r="J578" s="9"/>
      <c r="K578" s="1"/>
      <c r="L578" s="1"/>
      <c r="M578" s="9"/>
      <c r="N578" s="1"/>
      <c r="O578" s="1"/>
      <c r="P578" s="9"/>
    </row>
    <row r="579" spans="8:16" ht="13" x14ac:dyDescent="0.15">
      <c r="H579" s="1"/>
      <c r="I579" s="1"/>
      <c r="J579" s="9"/>
      <c r="K579" s="1"/>
      <c r="L579" s="1"/>
      <c r="M579" s="9"/>
      <c r="N579" s="1"/>
      <c r="O579" s="1"/>
      <c r="P579" s="9"/>
    </row>
    <row r="580" spans="8:16" ht="13" x14ac:dyDescent="0.15">
      <c r="H580" s="1"/>
      <c r="I580" s="1"/>
      <c r="J580" s="9"/>
      <c r="K580" s="1"/>
      <c r="L580" s="1"/>
      <c r="M580" s="9"/>
      <c r="N580" s="1"/>
      <c r="O580" s="1"/>
      <c r="P580" s="9"/>
    </row>
    <row r="581" spans="8:16" ht="13" x14ac:dyDescent="0.15">
      <c r="H581" s="1"/>
      <c r="I581" s="1"/>
      <c r="J581" s="9"/>
      <c r="K581" s="1"/>
      <c r="L581" s="1"/>
      <c r="M581" s="9"/>
      <c r="N581" s="1"/>
      <c r="O581" s="1"/>
      <c r="P581" s="9"/>
    </row>
    <row r="582" spans="8:16" ht="13" x14ac:dyDescent="0.15">
      <c r="H582" s="1"/>
      <c r="I582" s="1"/>
      <c r="J582" s="9"/>
      <c r="K582" s="1"/>
      <c r="L582" s="1"/>
      <c r="M582" s="9"/>
      <c r="N582" s="1"/>
      <c r="O582" s="1"/>
      <c r="P582" s="9"/>
    </row>
    <row r="583" spans="8:16" ht="13" x14ac:dyDescent="0.15">
      <c r="H583" s="1"/>
      <c r="I583" s="1"/>
      <c r="J583" s="9"/>
      <c r="K583" s="1"/>
      <c r="L583" s="1"/>
      <c r="M583" s="9"/>
      <c r="N583" s="1"/>
      <c r="O583" s="1"/>
      <c r="P583" s="9"/>
    </row>
    <row r="584" spans="8:16" ht="13" x14ac:dyDescent="0.15">
      <c r="H584" s="1"/>
      <c r="I584" s="1"/>
      <c r="J584" s="9"/>
      <c r="K584" s="1"/>
      <c r="L584" s="1"/>
      <c r="M584" s="9"/>
      <c r="N584" s="1"/>
      <c r="O584" s="1"/>
      <c r="P584" s="9"/>
    </row>
    <row r="585" spans="8:16" ht="13" x14ac:dyDescent="0.15">
      <c r="H585" s="1"/>
      <c r="I585" s="1"/>
      <c r="J585" s="9"/>
      <c r="K585" s="1"/>
      <c r="L585" s="1"/>
      <c r="M585" s="9"/>
      <c r="N585" s="1"/>
      <c r="O585" s="1"/>
      <c r="P585" s="9"/>
    </row>
    <row r="586" spans="8:16" ht="13" x14ac:dyDescent="0.15">
      <c r="H586" s="1"/>
      <c r="I586" s="1"/>
      <c r="J586" s="9"/>
      <c r="K586" s="1"/>
      <c r="L586" s="1"/>
      <c r="M586" s="9"/>
      <c r="N586" s="1"/>
      <c r="O586" s="1"/>
      <c r="P586" s="9"/>
    </row>
    <row r="587" spans="8:16" ht="13" x14ac:dyDescent="0.15">
      <c r="H587" s="1"/>
      <c r="I587" s="1"/>
      <c r="J587" s="9"/>
      <c r="K587" s="1"/>
      <c r="L587" s="1"/>
      <c r="M587" s="9"/>
      <c r="N587" s="1"/>
      <c r="O587" s="1"/>
      <c r="P587" s="9"/>
    </row>
    <row r="588" spans="8:16" ht="13" x14ac:dyDescent="0.15">
      <c r="H588" s="1"/>
      <c r="I588" s="1"/>
      <c r="J588" s="9"/>
      <c r="K588" s="1"/>
      <c r="L588" s="1"/>
      <c r="M588" s="9"/>
      <c r="N588" s="1"/>
      <c r="O588" s="1"/>
      <c r="P588" s="9"/>
    </row>
    <row r="589" spans="8:16" ht="13" x14ac:dyDescent="0.15">
      <c r="H589" s="1"/>
      <c r="I589" s="1"/>
      <c r="J589" s="9"/>
      <c r="K589" s="1"/>
      <c r="L589" s="1"/>
      <c r="M589" s="9"/>
      <c r="N589" s="1"/>
      <c r="O589" s="1"/>
      <c r="P589" s="9"/>
    </row>
    <row r="590" spans="8:16" ht="13" x14ac:dyDescent="0.15">
      <c r="H590" s="1"/>
      <c r="I590" s="1"/>
      <c r="J590" s="9"/>
      <c r="K590" s="1"/>
      <c r="L590" s="1"/>
      <c r="M590" s="9"/>
      <c r="N590" s="1"/>
      <c r="O590" s="1"/>
      <c r="P590" s="9"/>
    </row>
    <row r="591" spans="8:16" ht="13" x14ac:dyDescent="0.15">
      <c r="H591" s="1"/>
      <c r="I591" s="1"/>
      <c r="J591" s="9"/>
      <c r="K591" s="1"/>
      <c r="L591" s="1"/>
      <c r="M591" s="9"/>
      <c r="N591" s="1"/>
      <c r="O591" s="1"/>
      <c r="P591" s="9"/>
    </row>
    <row r="592" spans="8:16" ht="13" x14ac:dyDescent="0.15">
      <c r="H592" s="1"/>
      <c r="I592" s="1"/>
      <c r="J592" s="9"/>
      <c r="K592" s="1"/>
      <c r="L592" s="1"/>
      <c r="M592" s="9"/>
      <c r="N592" s="1"/>
      <c r="O592" s="1"/>
      <c r="P592" s="9"/>
    </row>
    <row r="593" spans="8:16" ht="13" x14ac:dyDescent="0.15">
      <c r="H593" s="1"/>
      <c r="I593" s="1"/>
      <c r="J593" s="9"/>
      <c r="K593" s="1"/>
      <c r="L593" s="1"/>
      <c r="M593" s="9"/>
      <c r="N593" s="1"/>
      <c r="O593" s="1"/>
      <c r="P593" s="9"/>
    </row>
    <row r="594" spans="8:16" ht="13" x14ac:dyDescent="0.15">
      <c r="H594" s="1"/>
      <c r="I594" s="1"/>
      <c r="J594" s="9"/>
      <c r="K594" s="1"/>
      <c r="L594" s="1"/>
      <c r="M594" s="9"/>
      <c r="N594" s="1"/>
      <c r="O594" s="1"/>
      <c r="P594" s="9"/>
    </row>
    <row r="595" spans="8:16" ht="13" x14ac:dyDescent="0.15">
      <c r="H595" s="1"/>
      <c r="I595" s="1"/>
      <c r="J595" s="9"/>
      <c r="K595" s="1"/>
      <c r="L595" s="1"/>
      <c r="M595" s="9"/>
      <c r="N595" s="1"/>
      <c r="O595" s="1"/>
      <c r="P595" s="9"/>
    </row>
    <row r="596" spans="8:16" ht="13" x14ac:dyDescent="0.15">
      <c r="H596" s="1"/>
      <c r="I596" s="1"/>
      <c r="J596" s="9"/>
      <c r="K596" s="1"/>
      <c r="L596" s="1"/>
      <c r="M596" s="9"/>
      <c r="N596" s="1"/>
      <c r="O596" s="1"/>
      <c r="P596" s="9"/>
    </row>
    <row r="597" spans="8:16" ht="13" x14ac:dyDescent="0.15">
      <c r="H597" s="1"/>
      <c r="I597" s="1"/>
      <c r="J597" s="9"/>
      <c r="K597" s="1"/>
      <c r="L597" s="1"/>
      <c r="M597" s="9"/>
      <c r="N597" s="1"/>
      <c r="O597" s="1"/>
      <c r="P597" s="9"/>
    </row>
    <row r="598" spans="8:16" ht="13" x14ac:dyDescent="0.15">
      <c r="H598" s="1"/>
      <c r="I598" s="1"/>
      <c r="J598" s="9"/>
      <c r="K598" s="1"/>
      <c r="L598" s="1"/>
      <c r="M598" s="9"/>
      <c r="N598" s="1"/>
      <c r="O598" s="1"/>
      <c r="P598" s="9"/>
    </row>
    <row r="599" spans="8:16" ht="13" x14ac:dyDescent="0.15">
      <c r="H599" s="1"/>
      <c r="I599" s="1"/>
      <c r="J599" s="9"/>
      <c r="K599" s="1"/>
      <c r="L599" s="1"/>
      <c r="M599" s="9"/>
      <c r="N599" s="1"/>
      <c r="O599" s="1"/>
      <c r="P599" s="9"/>
    </row>
    <row r="600" spans="8:16" ht="13" x14ac:dyDescent="0.15">
      <c r="H600" s="1"/>
      <c r="I600" s="1"/>
      <c r="J600" s="9"/>
      <c r="K600" s="1"/>
      <c r="L600" s="1"/>
      <c r="M600" s="9"/>
      <c r="N600" s="1"/>
      <c r="O600" s="1"/>
      <c r="P600" s="9"/>
    </row>
    <row r="601" spans="8:16" ht="13" x14ac:dyDescent="0.15">
      <c r="H601" s="1"/>
      <c r="I601" s="1"/>
      <c r="J601" s="9"/>
      <c r="K601" s="1"/>
      <c r="L601" s="1"/>
      <c r="M601" s="9"/>
      <c r="N601" s="1"/>
      <c r="O601" s="1"/>
      <c r="P601" s="9"/>
    </row>
    <row r="602" spans="8:16" ht="13" x14ac:dyDescent="0.15">
      <c r="H602" s="1"/>
      <c r="I602" s="1"/>
      <c r="J602" s="9"/>
      <c r="K602" s="1"/>
      <c r="L602" s="1"/>
      <c r="M602" s="9"/>
      <c r="N602" s="1"/>
      <c r="O602" s="1"/>
      <c r="P602" s="9"/>
    </row>
    <row r="603" spans="8:16" ht="13" x14ac:dyDescent="0.15">
      <c r="H603" s="1"/>
      <c r="I603" s="1"/>
      <c r="J603" s="9"/>
      <c r="K603" s="1"/>
      <c r="L603" s="1"/>
      <c r="M603" s="9"/>
      <c r="N603" s="1"/>
      <c r="O603" s="1"/>
      <c r="P603" s="9"/>
    </row>
    <row r="604" spans="8:16" ht="13" x14ac:dyDescent="0.15">
      <c r="H604" s="1"/>
      <c r="I604" s="1"/>
      <c r="J604" s="9"/>
      <c r="K604" s="1"/>
      <c r="L604" s="1"/>
      <c r="M604" s="9"/>
      <c r="N604" s="1"/>
      <c r="O604" s="1"/>
      <c r="P604" s="9"/>
    </row>
    <row r="605" spans="8:16" ht="13" x14ac:dyDescent="0.15">
      <c r="H605" s="1"/>
      <c r="I605" s="1"/>
      <c r="J605" s="9"/>
      <c r="K605" s="1"/>
      <c r="L605" s="1"/>
      <c r="M605" s="9"/>
      <c r="N605" s="1"/>
      <c r="O605" s="1"/>
      <c r="P605" s="9"/>
    </row>
    <row r="606" spans="8:16" ht="13" x14ac:dyDescent="0.15">
      <c r="H606" s="1"/>
      <c r="I606" s="1"/>
      <c r="J606" s="9"/>
      <c r="K606" s="1"/>
      <c r="L606" s="1"/>
      <c r="M606" s="9"/>
      <c r="N606" s="1"/>
      <c r="O606" s="1"/>
      <c r="P606" s="9"/>
    </row>
    <row r="607" spans="8:16" ht="13" x14ac:dyDescent="0.15">
      <c r="H607" s="1"/>
      <c r="I607" s="1"/>
      <c r="J607" s="9"/>
      <c r="K607" s="1"/>
      <c r="L607" s="1"/>
      <c r="M607" s="9"/>
      <c r="N607" s="1"/>
      <c r="O607" s="1"/>
      <c r="P607" s="9"/>
    </row>
    <row r="608" spans="8:16" ht="13" x14ac:dyDescent="0.15">
      <c r="H608" s="1"/>
      <c r="I608" s="1"/>
      <c r="J608" s="9"/>
      <c r="K608" s="1"/>
      <c r="L608" s="1"/>
      <c r="M608" s="9"/>
      <c r="N608" s="1"/>
      <c r="O608" s="1"/>
      <c r="P608" s="9"/>
    </row>
    <row r="609" spans="8:16" ht="13" x14ac:dyDescent="0.15">
      <c r="H609" s="1"/>
      <c r="I609" s="1"/>
      <c r="J609" s="9"/>
      <c r="K609" s="1"/>
      <c r="L609" s="1"/>
      <c r="M609" s="9"/>
      <c r="N609" s="1"/>
      <c r="O609" s="1"/>
      <c r="P609" s="9"/>
    </row>
    <row r="610" spans="8:16" ht="13" x14ac:dyDescent="0.15">
      <c r="H610" s="1"/>
      <c r="I610" s="1"/>
      <c r="J610" s="9"/>
      <c r="K610" s="1"/>
      <c r="L610" s="1"/>
      <c r="M610" s="9"/>
      <c r="N610" s="1"/>
      <c r="O610" s="1"/>
      <c r="P610" s="9"/>
    </row>
    <row r="611" spans="8:16" ht="13" x14ac:dyDescent="0.15">
      <c r="H611" s="1"/>
      <c r="I611" s="1"/>
      <c r="J611" s="9"/>
      <c r="K611" s="1"/>
      <c r="L611" s="1"/>
      <c r="M611" s="9"/>
      <c r="N611" s="1"/>
      <c r="O611" s="1"/>
      <c r="P611" s="9"/>
    </row>
    <row r="612" spans="8:16" ht="13" x14ac:dyDescent="0.15">
      <c r="H612" s="1"/>
      <c r="I612" s="1"/>
      <c r="J612" s="9"/>
      <c r="K612" s="1"/>
      <c r="L612" s="1"/>
      <c r="M612" s="9"/>
      <c r="N612" s="1"/>
      <c r="O612" s="1"/>
      <c r="P612" s="9"/>
    </row>
    <row r="613" spans="8:16" ht="13" x14ac:dyDescent="0.15">
      <c r="H613" s="1"/>
      <c r="I613" s="1"/>
      <c r="J613" s="9"/>
      <c r="K613" s="1"/>
      <c r="L613" s="1"/>
      <c r="M613" s="9"/>
      <c r="N613" s="1"/>
      <c r="O613" s="1"/>
      <c r="P613" s="9"/>
    </row>
    <row r="614" spans="8:16" ht="13" x14ac:dyDescent="0.15">
      <c r="H614" s="1"/>
      <c r="I614" s="1"/>
      <c r="J614" s="9"/>
      <c r="K614" s="1"/>
      <c r="L614" s="1"/>
      <c r="M614" s="9"/>
      <c r="N614" s="1"/>
      <c r="O614" s="1"/>
      <c r="P614" s="9"/>
    </row>
    <row r="615" spans="8:16" ht="13" x14ac:dyDescent="0.15">
      <c r="H615" s="1"/>
      <c r="I615" s="1"/>
      <c r="J615" s="9"/>
      <c r="K615" s="1"/>
      <c r="L615" s="1"/>
      <c r="M615" s="9"/>
      <c r="N615" s="1"/>
      <c r="O615" s="1"/>
      <c r="P615" s="9"/>
    </row>
    <row r="616" spans="8:16" ht="13" x14ac:dyDescent="0.15">
      <c r="H616" s="1"/>
      <c r="I616" s="1"/>
      <c r="J616" s="9"/>
      <c r="K616" s="1"/>
      <c r="L616" s="1"/>
      <c r="M616" s="9"/>
      <c r="N616" s="1"/>
      <c r="O616" s="1"/>
      <c r="P616" s="9"/>
    </row>
    <row r="617" spans="8:16" ht="13" x14ac:dyDescent="0.15">
      <c r="H617" s="1"/>
      <c r="I617" s="1"/>
      <c r="J617" s="9"/>
      <c r="K617" s="1"/>
      <c r="L617" s="1"/>
      <c r="M617" s="9"/>
      <c r="N617" s="1"/>
      <c r="O617" s="1"/>
      <c r="P617" s="9"/>
    </row>
    <row r="618" spans="8:16" ht="13" x14ac:dyDescent="0.15">
      <c r="H618" s="1"/>
      <c r="I618" s="1"/>
      <c r="J618" s="9"/>
      <c r="K618" s="1"/>
      <c r="L618" s="1"/>
      <c r="M618" s="9"/>
      <c r="N618" s="1"/>
      <c r="O618" s="1"/>
      <c r="P618" s="9"/>
    </row>
    <row r="619" spans="8:16" ht="13" x14ac:dyDescent="0.15">
      <c r="H619" s="1"/>
      <c r="I619" s="1"/>
      <c r="J619" s="9"/>
      <c r="K619" s="1"/>
      <c r="L619" s="1"/>
      <c r="M619" s="9"/>
      <c r="N619" s="1"/>
      <c r="O619" s="1"/>
      <c r="P619" s="9"/>
    </row>
    <row r="620" spans="8:16" ht="13" x14ac:dyDescent="0.15">
      <c r="H620" s="1"/>
      <c r="I620" s="1"/>
      <c r="J620" s="9"/>
      <c r="K620" s="1"/>
      <c r="L620" s="1"/>
      <c r="M620" s="9"/>
      <c r="N620" s="1"/>
      <c r="O620" s="1"/>
      <c r="P620" s="9"/>
    </row>
    <row r="621" spans="8:16" ht="13" x14ac:dyDescent="0.15">
      <c r="H621" s="1"/>
      <c r="I621" s="1"/>
      <c r="J621" s="9"/>
      <c r="K621" s="1"/>
      <c r="L621" s="1"/>
      <c r="M621" s="9"/>
      <c r="N621" s="1"/>
      <c r="O621" s="1"/>
      <c r="P621" s="9"/>
    </row>
    <row r="622" spans="8:16" ht="13" x14ac:dyDescent="0.15">
      <c r="H622" s="1"/>
      <c r="I622" s="1"/>
      <c r="J622" s="9"/>
      <c r="K622" s="1"/>
      <c r="L622" s="1"/>
      <c r="M622" s="9"/>
      <c r="N622" s="1"/>
      <c r="O622" s="1"/>
      <c r="P622" s="9"/>
    </row>
    <row r="623" spans="8:16" ht="13" x14ac:dyDescent="0.15">
      <c r="H623" s="1"/>
      <c r="I623" s="1"/>
      <c r="J623" s="9"/>
      <c r="K623" s="1"/>
      <c r="L623" s="1"/>
      <c r="M623" s="9"/>
      <c r="N623" s="1"/>
      <c r="O623" s="1"/>
      <c r="P623" s="9"/>
    </row>
    <row r="624" spans="8:16" ht="13" x14ac:dyDescent="0.15">
      <c r="H624" s="1"/>
      <c r="I624" s="1"/>
      <c r="J624" s="9"/>
      <c r="K624" s="1"/>
      <c r="L624" s="1"/>
      <c r="M624" s="9"/>
      <c r="N624" s="1"/>
      <c r="O624" s="1"/>
      <c r="P624" s="9"/>
    </row>
    <row r="625" spans="8:16" ht="13" x14ac:dyDescent="0.15">
      <c r="H625" s="1"/>
      <c r="I625" s="1"/>
      <c r="J625" s="9"/>
      <c r="K625" s="1"/>
      <c r="L625" s="1"/>
      <c r="M625" s="9"/>
      <c r="N625" s="1"/>
      <c r="O625" s="1"/>
      <c r="P625" s="9"/>
    </row>
    <row r="626" spans="8:16" ht="13" x14ac:dyDescent="0.15">
      <c r="H626" s="1"/>
      <c r="I626" s="1"/>
      <c r="J626" s="9"/>
      <c r="K626" s="1"/>
      <c r="L626" s="1"/>
      <c r="M626" s="9"/>
      <c r="N626" s="1"/>
      <c r="O626" s="1"/>
      <c r="P626" s="9"/>
    </row>
    <row r="627" spans="8:16" ht="13" x14ac:dyDescent="0.15">
      <c r="H627" s="1"/>
      <c r="I627" s="1"/>
      <c r="J627" s="9"/>
      <c r="K627" s="1"/>
      <c r="L627" s="1"/>
      <c r="M627" s="9"/>
      <c r="N627" s="1"/>
      <c r="O627" s="1"/>
      <c r="P627" s="9"/>
    </row>
    <row r="628" spans="8:16" ht="13" x14ac:dyDescent="0.15">
      <c r="H628" s="1"/>
      <c r="I628" s="1"/>
      <c r="J628" s="9"/>
      <c r="K628" s="1"/>
      <c r="L628" s="1"/>
      <c r="M628" s="9"/>
      <c r="N628" s="1"/>
      <c r="O628" s="1"/>
      <c r="P628" s="9"/>
    </row>
    <row r="629" spans="8:16" ht="13" x14ac:dyDescent="0.15">
      <c r="H629" s="1"/>
      <c r="I629" s="1"/>
      <c r="J629" s="9"/>
      <c r="K629" s="1"/>
      <c r="L629" s="1"/>
      <c r="M629" s="9"/>
      <c r="N629" s="1"/>
      <c r="O629" s="1"/>
      <c r="P629" s="9"/>
    </row>
    <row r="630" spans="8:16" ht="13" x14ac:dyDescent="0.15">
      <c r="H630" s="1"/>
      <c r="I630" s="1"/>
      <c r="J630" s="9"/>
      <c r="K630" s="1"/>
      <c r="L630" s="1"/>
      <c r="M630" s="9"/>
      <c r="N630" s="1"/>
      <c r="O630" s="1"/>
      <c r="P630" s="9"/>
    </row>
    <row r="631" spans="8:16" ht="13" x14ac:dyDescent="0.15">
      <c r="H631" s="1"/>
      <c r="I631" s="1"/>
      <c r="J631" s="9"/>
      <c r="K631" s="1"/>
      <c r="L631" s="1"/>
      <c r="M631" s="9"/>
      <c r="N631" s="1"/>
      <c r="O631" s="1"/>
      <c r="P631" s="9"/>
    </row>
    <row r="632" spans="8:16" ht="13" x14ac:dyDescent="0.15">
      <c r="H632" s="1"/>
      <c r="I632" s="1"/>
      <c r="J632" s="9"/>
      <c r="K632" s="1"/>
      <c r="L632" s="1"/>
      <c r="M632" s="9"/>
      <c r="N632" s="1"/>
      <c r="O632" s="1"/>
      <c r="P632" s="9"/>
    </row>
    <row r="633" spans="8:16" ht="13" x14ac:dyDescent="0.15">
      <c r="H633" s="1"/>
      <c r="I633" s="1"/>
      <c r="J633" s="9"/>
      <c r="K633" s="1"/>
      <c r="L633" s="1"/>
      <c r="M633" s="9"/>
      <c r="N633" s="1"/>
      <c r="O633" s="1"/>
      <c r="P633" s="9"/>
    </row>
    <row r="634" spans="8:16" ht="13" x14ac:dyDescent="0.15">
      <c r="H634" s="1"/>
      <c r="I634" s="1"/>
      <c r="J634" s="9"/>
      <c r="K634" s="1"/>
      <c r="L634" s="1"/>
      <c r="M634" s="9"/>
      <c r="N634" s="1"/>
      <c r="O634" s="1"/>
      <c r="P634" s="9"/>
    </row>
    <row r="635" spans="8:16" ht="13" x14ac:dyDescent="0.15">
      <c r="H635" s="1"/>
      <c r="I635" s="1"/>
      <c r="J635" s="9"/>
      <c r="K635" s="1"/>
      <c r="L635" s="1"/>
      <c r="M635" s="9"/>
      <c r="N635" s="1"/>
      <c r="O635" s="1"/>
      <c r="P635" s="9"/>
    </row>
    <row r="636" spans="8:16" ht="13" x14ac:dyDescent="0.15">
      <c r="H636" s="1"/>
      <c r="I636" s="1"/>
      <c r="J636" s="9"/>
      <c r="K636" s="1"/>
      <c r="L636" s="1"/>
      <c r="M636" s="9"/>
      <c r="N636" s="1"/>
      <c r="O636" s="1"/>
      <c r="P636" s="9"/>
    </row>
    <row r="637" spans="8:16" ht="13" x14ac:dyDescent="0.15">
      <c r="H637" s="1"/>
      <c r="I637" s="1"/>
      <c r="J637" s="9"/>
      <c r="K637" s="1"/>
      <c r="L637" s="1"/>
      <c r="M637" s="9"/>
      <c r="N637" s="1"/>
      <c r="O637" s="1"/>
      <c r="P637" s="9"/>
    </row>
    <row r="638" spans="8:16" ht="13" x14ac:dyDescent="0.15">
      <c r="H638" s="1"/>
      <c r="I638" s="1"/>
      <c r="J638" s="9"/>
      <c r="K638" s="1"/>
      <c r="L638" s="1"/>
      <c r="M638" s="9"/>
      <c r="N638" s="1"/>
      <c r="O638" s="1"/>
      <c r="P638" s="9"/>
    </row>
    <row r="639" spans="8:16" ht="13" x14ac:dyDescent="0.15">
      <c r="H639" s="1"/>
      <c r="I639" s="1"/>
      <c r="J639" s="9"/>
      <c r="K639" s="1"/>
      <c r="L639" s="1"/>
      <c r="M639" s="9"/>
      <c r="N639" s="1"/>
      <c r="O639" s="1"/>
      <c r="P639" s="9"/>
    </row>
    <row r="640" spans="8:16" ht="13" x14ac:dyDescent="0.15">
      <c r="H640" s="1"/>
      <c r="I640" s="1"/>
      <c r="J640" s="9"/>
      <c r="K640" s="1"/>
      <c r="L640" s="1"/>
      <c r="M640" s="9"/>
      <c r="N640" s="1"/>
      <c r="O640" s="1"/>
      <c r="P640" s="9"/>
    </row>
    <row r="641" spans="8:16" ht="13" x14ac:dyDescent="0.15">
      <c r="H641" s="1"/>
      <c r="I641" s="1"/>
      <c r="J641" s="9"/>
      <c r="K641" s="1"/>
      <c r="L641" s="1"/>
      <c r="M641" s="9"/>
      <c r="N641" s="1"/>
      <c r="O641" s="1"/>
      <c r="P641" s="9"/>
    </row>
    <row r="642" spans="8:16" ht="13" x14ac:dyDescent="0.15">
      <c r="H642" s="1"/>
      <c r="I642" s="1"/>
      <c r="J642" s="9"/>
      <c r="K642" s="1"/>
      <c r="L642" s="1"/>
      <c r="M642" s="9"/>
      <c r="N642" s="1"/>
      <c r="O642" s="1"/>
      <c r="P642" s="9"/>
    </row>
    <row r="643" spans="8:16" ht="13" x14ac:dyDescent="0.15">
      <c r="H643" s="1"/>
      <c r="I643" s="1"/>
      <c r="J643" s="9"/>
      <c r="K643" s="1"/>
      <c r="L643" s="1"/>
      <c r="M643" s="9"/>
      <c r="N643" s="1"/>
      <c r="O643" s="1"/>
      <c r="P643" s="9"/>
    </row>
    <row r="644" spans="8:16" ht="13" x14ac:dyDescent="0.15">
      <c r="H644" s="1"/>
      <c r="I644" s="1"/>
      <c r="J644" s="9"/>
      <c r="K644" s="1"/>
      <c r="L644" s="1"/>
      <c r="M644" s="9"/>
      <c r="N644" s="1"/>
      <c r="O644" s="1"/>
      <c r="P644" s="9"/>
    </row>
    <row r="645" spans="8:16" ht="13" x14ac:dyDescent="0.15">
      <c r="H645" s="1"/>
      <c r="I645" s="1"/>
      <c r="J645" s="9"/>
      <c r="K645" s="1"/>
      <c r="L645" s="1"/>
      <c r="M645" s="9"/>
      <c r="N645" s="1"/>
      <c r="O645" s="1"/>
      <c r="P645" s="9"/>
    </row>
    <row r="646" spans="8:16" ht="13" x14ac:dyDescent="0.15">
      <c r="H646" s="1"/>
      <c r="I646" s="1"/>
      <c r="J646" s="9"/>
      <c r="K646" s="1"/>
      <c r="L646" s="1"/>
      <c r="M646" s="9"/>
      <c r="N646" s="1"/>
      <c r="O646" s="1"/>
      <c r="P646" s="9"/>
    </row>
    <row r="647" spans="8:16" ht="13" x14ac:dyDescent="0.15">
      <c r="H647" s="1"/>
      <c r="I647" s="1"/>
      <c r="J647" s="9"/>
      <c r="K647" s="1"/>
      <c r="L647" s="1"/>
      <c r="M647" s="9"/>
      <c r="N647" s="1"/>
      <c r="O647" s="1"/>
      <c r="P647" s="9"/>
    </row>
    <row r="648" spans="8:16" ht="13" x14ac:dyDescent="0.15">
      <c r="H648" s="1"/>
      <c r="I648" s="1"/>
      <c r="J648" s="9"/>
      <c r="K648" s="1"/>
      <c r="L648" s="1"/>
      <c r="M648" s="9"/>
      <c r="N648" s="1"/>
      <c r="O648" s="1"/>
      <c r="P648" s="9"/>
    </row>
    <row r="649" spans="8:16" ht="13" x14ac:dyDescent="0.15">
      <c r="H649" s="1"/>
      <c r="I649" s="1"/>
      <c r="J649" s="9"/>
      <c r="K649" s="1"/>
      <c r="L649" s="1"/>
      <c r="M649" s="9"/>
      <c r="N649" s="1"/>
      <c r="O649" s="1"/>
      <c r="P649" s="9"/>
    </row>
    <row r="650" spans="8:16" ht="13" x14ac:dyDescent="0.15">
      <c r="H650" s="1"/>
      <c r="I650" s="1"/>
      <c r="J650" s="9"/>
      <c r="K650" s="1"/>
      <c r="L650" s="1"/>
      <c r="M650" s="9"/>
      <c r="N650" s="1"/>
      <c r="O650" s="1"/>
      <c r="P650" s="9"/>
    </row>
    <row r="651" spans="8:16" ht="13" x14ac:dyDescent="0.15">
      <c r="H651" s="1"/>
      <c r="I651" s="1"/>
      <c r="J651" s="9"/>
      <c r="K651" s="1"/>
      <c r="L651" s="1"/>
      <c r="M651" s="9"/>
      <c r="N651" s="1"/>
      <c r="O651" s="1"/>
      <c r="P651" s="9"/>
    </row>
    <row r="652" spans="8:16" ht="13" x14ac:dyDescent="0.15">
      <c r="H652" s="1"/>
      <c r="I652" s="1"/>
      <c r="J652" s="9"/>
      <c r="K652" s="1"/>
      <c r="L652" s="1"/>
      <c r="M652" s="9"/>
      <c r="N652" s="1"/>
      <c r="O652" s="1"/>
      <c r="P652" s="9"/>
    </row>
    <row r="653" spans="8:16" ht="13" x14ac:dyDescent="0.15">
      <c r="H653" s="1"/>
      <c r="I653" s="1"/>
      <c r="J653" s="9"/>
      <c r="K653" s="1"/>
      <c r="L653" s="1"/>
      <c r="M653" s="9"/>
      <c r="N653" s="1"/>
      <c r="O653" s="1"/>
      <c r="P653" s="9"/>
    </row>
    <row r="654" spans="8:16" ht="13" x14ac:dyDescent="0.15">
      <c r="H654" s="1"/>
      <c r="I654" s="1"/>
      <c r="J654" s="9"/>
      <c r="K654" s="1"/>
      <c r="L654" s="1"/>
      <c r="M654" s="9"/>
      <c r="N654" s="1"/>
      <c r="O654" s="1"/>
      <c r="P654" s="9"/>
    </row>
    <row r="655" spans="8:16" ht="13" x14ac:dyDescent="0.15">
      <c r="H655" s="1"/>
      <c r="I655" s="1"/>
      <c r="J655" s="9"/>
      <c r="K655" s="1"/>
      <c r="L655" s="1"/>
      <c r="M655" s="9"/>
      <c r="N655" s="1"/>
      <c r="O655" s="1"/>
      <c r="P655" s="9"/>
    </row>
    <row r="656" spans="8:16" ht="13" x14ac:dyDescent="0.15">
      <c r="H656" s="1"/>
      <c r="I656" s="1"/>
      <c r="J656" s="9"/>
      <c r="K656" s="1"/>
      <c r="L656" s="1"/>
      <c r="M656" s="9"/>
      <c r="N656" s="1"/>
      <c r="O656" s="1"/>
      <c r="P656" s="9"/>
    </row>
    <row r="657" spans="8:16" ht="13" x14ac:dyDescent="0.15">
      <c r="H657" s="1"/>
      <c r="I657" s="1"/>
      <c r="J657" s="9"/>
      <c r="K657" s="1"/>
      <c r="L657" s="1"/>
      <c r="M657" s="9"/>
      <c r="N657" s="1"/>
      <c r="O657" s="1"/>
      <c r="P657" s="9"/>
    </row>
    <row r="658" spans="8:16" ht="13" x14ac:dyDescent="0.15">
      <c r="H658" s="1"/>
      <c r="I658" s="1"/>
      <c r="J658" s="9"/>
      <c r="K658" s="1"/>
      <c r="L658" s="1"/>
      <c r="M658" s="9"/>
      <c r="N658" s="1"/>
      <c r="O658" s="1"/>
      <c r="P658" s="9"/>
    </row>
    <row r="659" spans="8:16" ht="13" x14ac:dyDescent="0.15">
      <c r="H659" s="1"/>
      <c r="I659" s="1"/>
      <c r="J659" s="9"/>
      <c r="K659" s="1"/>
      <c r="L659" s="1"/>
      <c r="M659" s="9"/>
      <c r="N659" s="1"/>
      <c r="O659" s="1"/>
      <c r="P659" s="9"/>
    </row>
    <row r="660" spans="8:16" ht="13" x14ac:dyDescent="0.15">
      <c r="H660" s="1"/>
      <c r="I660" s="1"/>
      <c r="J660" s="9"/>
      <c r="K660" s="1"/>
      <c r="L660" s="1"/>
      <c r="M660" s="9"/>
      <c r="N660" s="1"/>
      <c r="O660" s="1"/>
      <c r="P660" s="9"/>
    </row>
    <row r="661" spans="8:16" ht="13" x14ac:dyDescent="0.15">
      <c r="H661" s="1"/>
      <c r="I661" s="1"/>
      <c r="J661" s="9"/>
      <c r="K661" s="1"/>
      <c r="L661" s="1"/>
      <c r="M661" s="9"/>
      <c r="N661" s="1"/>
      <c r="O661" s="1"/>
      <c r="P661" s="9"/>
    </row>
    <row r="662" spans="8:16" ht="13" x14ac:dyDescent="0.15">
      <c r="H662" s="1"/>
      <c r="I662" s="1"/>
      <c r="J662" s="9"/>
      <c r="K662" s="1"/>
      <c r="L662" s="1"/>
      <c r="M662" s="9"/>
      <c r="N662" s="1"/>
      <c r="O662" s="1"/>
      <c r="P662" s="9"/>
    </row>
    <row r="663" spans="8:16" ht="13" x14ac:dyDescent="0.15">
      <c r="H663" s="1"/>
      <c r="I663" s="1"/>
      <c r="J663" s="9"/>
      <c r="K663" s="1"/>
      <c r="L663" s="1"/>
      <c r="M663" s="9"/>
      <c r="N663" s="1"/>
      <c r="O663" s="1"/>
      <c r="P663" s="9"/>
    </row>
    <row r="664" spans="8:16" ht="13" x14ac:dyDescent="0.15">
      <c r="H664" s="1"/>
      <c r="I664" s="1"/>
      <c r="J664" s="9"/>
      <c r="K664" s="1"/>
      <c r="L664" s="1"/>
      <c r="M664" s="9"/>
      <c r="N664" s="1"/>
      <c r="O664" s="1"/>
      <c r="P664" s="9"/>
    </row>
    <row r="665" spans="8:16" ht="13" x14ac:dyDescent="0.15">
      <c r="H665" s="1"/>
      <c r="I665" s="1"/>
      <c r="J665" s="9"/>
      <c r="K665" s="1"/>
      <c r="L665" s="1"/>
      <c r="M665" s="9"/>
      <c r="N665" s="1"/>
      <c r="O665" s="1"/>
      <c r="P665" s="9"/>
    </row>
    <row r="666" spans="8:16" ht="13" x14ac:dyDescent="0.15">
      <c r="H666" s="1"/>
      <c r="I666" s="1"/>
      <c r="J666" s="9"/>
      <c r="K666" s="1"/>
      <c r="L666" s="1"/>
      <c r="M666" s="9"/>
      <c r="N666" s="1"/>
      <c r="O666" s="1"/>
      <c r="P666" s="9"/>
    </row>
    <row r="667" spans="8:16" ht="13" x14ac:dyDescent="0.15">
      <c r="H667" s="1"/>
      <c r="I667" s="1"/>
      <c r="J667" s="9"/>
      <c r="K667" s="1"/>
      <c r="L667" s="1"/>
      <c r="M667" s="9"/>
      <c r="N667" s="1"/>
      <c r="O667" s="1"/>
      <c r="P667" s="9"/>
    </row>
    <row r="668" spans="8:16" ht="13" x14ac:dyDescent="0.15">
      <c r="H668" s="1"/>
      <c r="I668" s="1"/>
      <c r="J668" s="9"/>
      <c r="K668" s="1"/>
      <c r="L668" s="1"/>
      <c r="M668" s="9"/>
      <c r="N668" s="1"/>
      <c r="O668" s="1"/>
      <c r="P668" s="9"/>
    </row>
    <row r="669" spans="8:16" ht="13" x14ac:dyDescent="0.15">
      <c r="H669" s="1"/>
      <c r="I669" s="1"/>
      <c r="J669" s="9"/>
      <c r="K669" s="1"/>
      <c r="L669" s="1"/>
      <c r="M669" s="9"/>
      <c r="N669" s="1"/>
      <c r="O669" s="1"/>
      <c r="P669" s="9"/>
    </row>
    <row r="670" spans="8:16" ht="13" x14ac:dyDescent="0.15">
      <c r="H670" s="1"/>
      <c r="I670" s="1"/>
      <c r="J670" s="9"/>
      <c r="K670" s="1"/>
      <c r="L670" s="1"/>
      <c r="M670" s="9"/>
      <c r="N670" s="1"/>
      <c r="O670" s="1"/>
      <c r="P670" s="9"/>
    </row>
    <row r="671" spans="8:16" ht="13" x14ac:dyDescent="0.15">
      <c r="H671" s="1"/>
      <c r="I671" s="1"/>
      <c r="J671" s="9"/>
      <c r="K671" s="1"/>
      <c r="L671" s="1"/>
      <c r="M671" s="9"/>
      <c r="N671" s="1"/>
      <c r="O671" s="1"/>
      <c r="P671" s="9"/>
    </row>
    <row r="672" spans="8:16" ht="13" x14ac:dyDescent="0.15">
      <c r="H672" s="1"/>
      <c r="I672" s="1"/>
      <c r="J672" s="9"/>
      <c r="K672" s="1"/>
      <c r="L672" s="1"/>
      <c r="M672" s="9"/>
      <c r="N672" s="1"/>
      <c r="O672" s="1"/>
      <c r="P672" s="9"/>
    </row>
    <row r="673" spans="8:16" ht="13" x14ac:dyDescent="0.15">
      <c r="H673" s="1"/>
      <c r="I673" s="1"/>
      <c r="J673" s="9"/>
      <c r="K673" s="1"/>
      <c r="L673" s="1"/>
      <c r="M673" s="9"/>
      <c r="N673" s="1"/>
      <c r="O673" s="1"/>
      <c r="P673" s="9"/>
    </row>
    <row r="674" spans="8:16" ht="13" x14ac:dyDescent="0.15">
      <c r="H674" s="1"/>
      <c r="I674" s="1"/>
      <c r="J674" s="9"/>
      <c r="K674" s="1"/>
      <c r="L674" s="1"/>
      <c r="M674" s="9"/>
      <c r="N674" s="1"/>
      <c r="O674" s="1"/>
      <c r="P674" s="9"/>
    </row>
    <row r="675" spans="8:16" ht="13" x14ac:dyDescent="0.15">
      <c r="H675" s="1"/>
      <c r="I675" s="1"/>
      <c r="J675" s="9"/>
      <c r="K675" s="1"/>
      <c r="L675" s="1"/>
      <c r="M675" s="9"/>
      <c r="N675" s="1"/>
      <c r="O675" s="1"/>
      <c r="P675" s="9"/>
    </row>
    <row r="676" spans="8:16" ht="13" x14ac:dyDescent="0.15">
      <c r="H676" s="1"/>
      <c r="I676" s="1"/>
      <c r="J676" s="9"/>
      <c r="K676" s="1"/>
      <c r="L676" s="1"/>
      <c r="M676" s="9"/>
      <c r="N676" s="1"/>
      <c r="O676" s="1"/>
      <c r="P676" s="9"/>
    </row>
    <row r="677" spans="8:16" ht="13" x14ac:dyDescent="0.15">
      <c r="H677" s="1"/>
      <c r="I677" s="1"/>
      <c r="J677" s="9"/>
      <c r="K677" s="1"/>
      <c r="L677" s="1"/>
      <c r="M677" s="9"/>
      <c r="N677" s="1"/>
      <c r="O677" s="1"/>
      <c r="P677" s="9"/>
    </row>
    <row r="678" spans="8:16" ht="13" x14ac:dyDescent="0.15">
      <c r="H678" s="1"/>
      <c r="I678" s="1"/>
      <c r="J678" s="9"/>
      <c r="K678" s="1"/>
      <c r="L678" s="1"/>
      <c r="M678" s="9"/>
      <c r="N678" s="1"/>
      <c r="O678" s="1"/>
      <c r="P678" s="9"/>
    </row>
    <row r="679" spans="8:16" ht="13" x14ac:dyDescent="0.15">
      <c r="H679" s="1"/>
      <c r="I679" s="1"/>
      <c r="J679" s="9"/>
      <c r="K679" s="1"/>
      <c r="L679" s="1"/>
      <c r="M679" s="9"/>
      <c r="N679" s="1"/>
      <c r="O679" s="1"/>
      <c r="P679" s="9"/>
    </row>
    <row r="680" spans="8:16" ht="13" x14ac:dyDescent="0.15">
      <c r="H680" s="1"/>
      <c r="I680" s="1"/>
      <c r="J680" s="9"/>
      <c r="K680" s="1"/>
      <c r="L680" s="1"/>
      <c r="M680" s="9"/>
      <c r="N680" s="1"/>
      <c r="O680" s="1"/>
      <c r="P680" s="9"/>
    </row>
    <row r="681" spans="8:16" ht="13" x14ac:dyDescent="0.15">
      <c r="H681" s="1"/>
      <c r="I681" s="1"/>
      <c r="J681" s="9"/>
      <c r="K681" s="1"/>
      <c r="L681" s="1"/>
      <c r="M681" s="9"/>
      <c r="N681" s="1"/>
      <c r="O681" s="1"/>
      <c r="P681" s="9"/>
    </row>
    <row r="682" spans="8:16" ht="13" x14ac:dyDescent="0.15">
      <c r="H682" s="1"/>
      <c r="I682" s="1"/>
      <c r="J682" s="9"/>
      <c r="K682" s="1"/>
      <c r="L682" s="1"/>
      <c r="M682" s="9"/>
      <c r="N682" s="1"/>
      <c r="O682" s="1"/>
      <c r="P682" s="9"/>
    </row>
    <row r="683" spans="8:16" ht="13" x14ac:dyDescent="0.15">
      <c r="H683" s="1"/>
      <c r="I683" s="1"/>
      <c r="J683" s="9"/>
      <c r="K683" s="1"/>
      <c r="L683" s="1"/>
      <c r="M683" s="9"/>
      <c r="N683" s="1"/>
      <c r="O683" s="1"/>
      <c r="P683" s="9"/>
    </row>
    <row r="684" spans="8:16" ht="13" x14ac:dyDescent="0.15">
      <c r="H684" s="1"/>
      <c r="I684" s="1"/>
      <c r="J684" s="9"/>
      <c r="K684" s="1"/>
      <c r="L684" s="1"/>
      <c r="M684" s="9"/>
      <c r="N684" s="1"/>
      <c r="O684" s="1"/>
      <c r="P684" s="9"/>
    </row>
    <row r="685" spans="8:16" ht="13" x14ac:dyDescent="0.15">
      <c r="H685" s="1"/>
      <c r="I685" s="1"/>
      <c r="J685" s="9"/>
      <c r="K685" s="1"/>
      <c r="L685" s="1"/>
      <c r="M685" s="9"/>
      <c r="N685" s="1"/>
      <c r="O685" s="1"/>
      <c r="P685" s="9"/>
    </row>
    <row r="686" spans="8:16" ht="13" x14ac:dyDescent="0.15">
      <c r="H686" s="1"/>
      <c r="I686" s="1"/>
      <c r="J686" s="9"/>
      <c r="K686" s="1"/>
      <c r="L686" s="1"/>
      <c r="M686" s="9"/>
      <c r="N686" s="1"/>
      <c r="O686" s="1"/>
      <c r="P686" s="9"/>
    </row>
    <row r="687" spans="8:16" ht="13" x14ac:dyDescent="0.15">
      <c r="H687" s="1"/>
      <c r="I687" s="1"/>
      <c r="J687" s="9"/>
      <c r="K687" s="1"/>
      <c r="L687" s="1"/>
      <c r="M687" s="9"/>
      <c r="N687" s="1"/>
      <c r="O687" s="1"/>
      <c r="P687" s="9"/>
    </row>
    <row r="688" spans="8:16" ht="13" x14ac:dyDescent="0.15">
      <c r="H688" s="1"/>
      <c r="I688" s="1"/>
      <c r="J688" s="9"/>
      <c r="K688" s="1"/>
      <c r="L688" s="1"/>
      <c r="M688" s="9"/>
      <c r="N688" s="1"/>
      <c r="O688" s="1"/>
      <c r="P688" s="9"/>
    </row>
    <row r="689" spans="8:16" ht="13" x14ac:dyDescent="0.15">
      <c r="H689" s="1"/>
      <c r="I689" s="1"/>
      <c r="J689" s="9"/>
      <c r="K689" s="1"/>
      <c r="L689" s="1"/>
      <c r="M689" s="9"/>
      <c r="N689" s="1"/>
      <c r="O689" s="1"/>
      <c r="P689" s="9"/>
    </row>
    <row r="690" spans="8:16" ht="13" x14ac:dyDescent="0.15">
      <c r="H690" s="1"/>
      <c r="I690" s="1"/>
      <c r="J690" s="9"/>
      <c r="K690" s="1"/>
      <c r="L690" s="1"/>
      <c r="M690" s="9"/>
      <c r="N690" s="1"/>
      <c r="O690" s="1"/>
      <c r="P690" s="9"/>
    </row>
    <row r="691" spans="8:16" ht="13" x14ac:dyDescent="0.15">
      <c r="H691" s="1"/>
      <c r="I691" s="1"/>
      <c r="J691" s="9"/>
      <c r="K691" s="1"/>
      <c r="L691" s="1"/>
      <c r="M691" s="9"/>
      <c r="N691" s="1"/>
      <c r="O691" s="1"/>
      <c r="P691" s="9"/>
    </row>
    <row r="692" spans="8:16" ht="13" x14ac:dyDescent="0.15">
      <c r="H692" s="1"/>
      <c r="I692" s="1"/>
      <c r="J692" s="9"/>
      <c r="K692" s="1"/>
      <c r="L692" s="1"/>
      <c r="M692" s="9"/>
      <c r="N692" s="1"/>
      <c r="O692" s="1"/>
      <c r="P692" s="9"/>
    </row>
    <row r="693" spans="8:16" ht="13" x14ac:dyDescent="0.15">
      <c r="H693" s="1"/>
      <c r="I693" s="1"/>
      <c r="J693" s="9"/>
      <c r="K693" s="1"/>
      <c r="L693" s="1"/>
      <c r="M693" s="9"/>
      <c r="N693" s="1"/>
      <c r="O693" s="1"/>
      <c r="P693" s="9"/>
    </row>
    <row r="694" spans="8:16" ht="13" x14ac:dyDescent="0.15">
      <c r="H694" s="1"/>
      <c r="I694" s="1"/>
      <c r="J694" s="9"/>
      <c r="K694" s="1"/>
      <c r="L694" s="1"/>
      <c r="M694" s="9"/>
      <c r="N694" s="1"/>
      <c r="O694" s="1"/>
      <c r="P694" s="9"/>
    </row>
    <row r="695" spans="8:16" ht="13" x14ac:dyDescent="0.15">
      <c r="H695" s="1"/>
      <c r="I695" s="1"/>
      <c r="J695" s="9"/>
      <c r="K695" s="1"/>
      <c r="L695" s="1"/>
      <c r="M695" s="9"/>
      <c r="N695" s="1"/>
      <c r="O695" s="1"/>
      <c r="P695" s="9"/>
    </row>
    <row r="696" spans="8:16" ht="13" x14ac:dyDescent="0.15">
      <c r="H696" s="1"/>
      <c r="I696" s="1"/>
      <c r="J696" s="9"/>
      <c r="K696" s="1"/>
      <c r="L696" s="1"/>
      <c r="M696" s="9"/>
      <c r="N696" s="1"/>
      <c r="O696" s="1"/>
      <c r="P696" s="9"/>
    </row>
    <row r="697" spans="8:16" ht="13" x14ac:dyDescent="0.15">
      <c r="H697" s="1"/>
      <c r="I697" s="1"/>
      <c r="J697" s="9"/>
      <c r="K697" s="1"/>
      <c r="L697" s="1"/>
      <c r="M697" s="9"/>
      <c r="N697" s="1"/>
      <c r="O697" s="1"/>
      <c r="P697" s="9"/>
    </row>
    <row r="698" spans="8:16" ht="13" x14ac:dyDescent="0.15">
      <c r="H698" s="1"/>
      <c r="I698" s="1"/>
      <c r="J698" s="9"/>
      <c r="K698" s="1"/>
      <c r="L698" s="1"/>
      <c r="M698" s="9"/>
      <c r="N698" s="1"/>
      <c r="O698" s="1"/>
      <c r="P698" s="9"/>
    </row>
    <row r="699" spans="8:16" ht="13" x14ac:dyDescent="0.15">
      <c r="H699" s="1"/>
      <c r="I699" s="1"/>
      <c r="J699" s="9"/>
      <c r="K699" s="1"/>
      <c r="L699" s="1"/>
      <c r="M699" s="9"/>
      <c r="N699" s="1"/>
      <c r="O699" s="1"/>
      <c r="P699" s="9"/>
    </row>
    <row r="700" spans="8:16" ht="13" x14ac:dyDescent="0.15">
      <c r="H700" s="1"/>
      <c r="I700" s="1"/>
      <c r="J700" s="9"/>
      <c r="K700" s="1"/>
      <c r="L700" s="1"/>
      <c r="M700" s="9"/>
      <c r="N700" s="1"/>
      <c r="O700" s="1"/>
      <c r="P700" s="9"/>
    </row>
    <row r="701" spans="8:16" ht="13" x14ac:dyDescent="0.15">
      <c r="H701" s="1"/>
      <c r="I701" s="1"/>
      <c r="J701" s="9"/>
      <c r="K701" s="1"/>
      <c r="L701" s="1"/>
      <c r="M701" s="9"/>
      <c r="N701" s="1"/>
      <c r="O701" s="1"/>
      <c r="P701" s="9"/>
    </row>
    <row r="702" spans="8:16" ht="13" x14ac:dyDescent="0.15">
      <c r="H702" s="1"/>
      <c r="I702" s="1"/>
      <c r="J702" s="9"/>
      <c r="K702" s="1"/>
      <c r="L702" s="1"/>
      <c r="M702" s="9"/>
      <c r="N702" s="1"/>
      <c r="O702" s="1"/>
      <c r="P702" s="9"/>
    </row>
    <row r="703" spans="8:16" ht="13" x14ac:dyDescent="0.15">
      <c r="H703" s="1"/>
      <c r="I703" s="1"/>
      <c r="J703" s="9"/>
      <c r="K703" s="1"/>
      <c r="L703" s="1"/>
      <c r="M703" s="9"/>
      <c r="N703" s="1"/>
      <c r="O703" s="1"/>
      <c r="P703" s="9"/>
    </row>
    <row r="704" spans="8:16" ht="13" x14ac:dyDescent="0.15">
      <c r="H704" s="1"/>
      <c r="I704" s="1"/>
      <c r="J704" s="9"/>
      <c r="K704" s="1"/>
      <c r="L704" s="1"/>
      <c r="M704" s="9"/>
      <c r="N704" s="1"/>
      <c r="O704" s="1"/>
      <c r="P704" s="9"/>
    </row>
    <row r="705" spans="8:16" ht="13" x14ac:dyDescent="0.15">
      <c r="H705" s="1"/>
      <c r="I705" s="1"/>
      <c r="J705" s="9"/>
      <c r="K705" s="1"/>
      <c r="L705" s="1"/>
      <c r="M705" s="9"/>
      <c r="N705" s="1"/>
      <c r="O705" s="1"/>
      <c r="P705" s="9"/>
    </row>
    <row r="706" spans="8:16" ht="13" x14ac:dyDescent="0.15">
      <c r="H706" s="1"/>
      <c r="I706" s="1"/>
      <c r="J706" s="9"/>
      <c r="K706" s="1"/>
      <c r="L706" s="1"/>
      <c r="M706" s="9"/>
      <c r="N706" s="1"/>
      <c r="O706" s="1"/>
      <c r="P706" s="9"/>
    </row>
    <row r="707" spans="8:16" ht="13" x14ac:dyDescent="0.15">
      <c r="H707" s="1"/>
      <c r="I707" s="1"/>
      <c r="J707" s="9"/>
      <c r="K707" s="1"/>
      <c r="L707" s="1"/>
      <c r="M707" s="9"/>
      <c r="N707" s="1"/>
      <c r="O707" s="1"/>
      <c r="P707" s="9"/>
    </row>
    <row r="708" spans="8:16" ht="13" x14ac:dyDescent="0.15">
      <c r="H708" s="1"/>
      <c r="I708" s="1"/>
      <c r="J708" s="9"/>
      <c r="K708" s="1"/>
      <c r="L708" s="1"/>
      <c r="M708" s="9"/>
      <c r="N708" s="1"/>
      <c r="O708" s="1"/>
      <c r="P708" s="9"/>
    </row>
    <row r="709" spans="8:16" ht="13" x14ac:dyDescent="0.15">
      <c r="H709" s="1"/>
      <c r="I709" s="1"/>
      <c r="J709" s="9"/>
      <c r="K709" s="1"/>
      <c r="L709" s="1"/>
      <c r="M709" s="9"/>
      <c r="N709" s="1"/>
      <c r="O709" s="1"/>
      <c r="P709" s="9"/>
    </row>
    <row r="710" spans="8:16" ht="13" x14ac:dyDescent="0.15">
      <c r="H710" s="1"/>
      <c r="I710" s="1"/>
      <c r="J710" s="9"/>
      <c r="K710" s="1"/>
      <c r="L710" s="1"/>
      <c r="M710" s="9"/>
      <c r="N710" s="1"/>
      <c r="O710" s="1"/>
      <c r="P710" s="9"/>
    </row>
    <row r="711" spans="8:16" ht="13" x14ac:dyDescent="0.15">
      <c r="H711" s="1"/>
      <c r="I711" s="1"/>
      <c r="J711" s="9"/>
      <c r="K711" s="1"/>
      <c r="L711" s="1"/>
      <c r="M711" s="9"/>
      <c r="N711" s="1"/>
      <c r="O711" s="1"/>
      <c r="P711" s="9"/>
    </row>
    <row r="712" spans="8:16" ht="13" x14ac:dyDescent="0.15">
      <c r="H712" s="1"/>
      <c r="I712" s="1"/>
      <c r="J712" s="9"/>
      <c r="K712" s="1"/>
      <c r="L712" s="1"/>
      <c r="M712" s="9"/>
      <c r="N712" s="1"/>
      <c r="O712" s="1"/>
      <c r="P712" s="9"/>
    </row>
    <row r="713" spans="8:16" ht="13" x14ac:dyDescent="0.15">
      <c r="H713" s="1"/>
      <c r="I713" s="1"/>
      <c r="J713" s="9"/>
      <c r="K713" s="1"/>
      <c r="L713" s="1"/>
      <c r="M713" s="9"/>
      <c r="N713" s="1"/>
      <c r="O713" s="1"/>
      <c r="P713" s="9"/>
    </row>
    <row r="714" spans="8:16" ht="13" x14ac:dyDescent="0.15">
      <c r="H714" s="1"/>
      <c r="I714" s="1"/>
      <c r="J714" s="9"/>
      <c r="K714" s="1"/>
      <c r="L714" s="1"/>
      <c r="M714" s="9"/>
      <c r="N714" s="1"/>
      <c r="O714" s="1"/>
      <c r="P714" s="9"/>
    </row>
    <row r="715" spans="8:16" ht="13" x14ac:dyDescent="0.15">
      <c r="H715" s="1"/>
      <c r="I715" s="1"/>
      <c r="J715" s="9"/>
      <c r="K715" s="1"/>
      <c r="L715" s="1"/>
      <c r="M715" s="9"/>
      <c r="N715" s="1"/>
      <c r="O715" s="1"/>
      <c r="P715" s="9"/>
    </row>
    <row r="716" spans="8:16" ht="13" x14ac:dyDescent="0.15">
      <c r="H716" s="1"/>
      <c r="I716" s="1"/>
      <c r="J716" s="9"/>
      <c r="K716" s="1"/>
      <c r="L716" s="1"/>
      <c r="M716" s="9"/>
      <c r="N716" s="1"/>
      <c r="O716" s="1"/>
      <c r="P716" s="9"/>
    </row>
    <row r="717" spans="8:16" ht="13" x14ac:dyDescent="0.15">
      <c r="H717" s="1"/>
      <c r="I717" s="1"/>
      <c r="J717" s="9"/>
      <c r="K717" s="1"/>
      <c r="L717" s="1"/>
      <c r="M717" s="9"/>
      <c r="N717" s="1"/>
      <c r="O717" s="1"/>
      <c r="P717" s="9"/>
    </row>
    <row r="718" spans="8:16" ht="13" x14ac:dyDescent="0.15">
      <c r="H718" s="1"/>
      <c r="I718" s="1"/>
      <c r="J718" s="9"/>
      <c r="K718" s="1"/>
      <c r="L718" s="1"/>
      <c r="M718" s="9"/>
      <c r="N718" s="1"/>
      <c r="O718" s="1"/>
      <c r="P718" s="9"/>
    </row>
    <row r="719" spans="8:16" ht="13" x14ac:dyDescent="0.15">
      <c r="H719" s="1"/>
      <c r="I719" s="1"/>
      <c r="J719" s="9"/>
      <c r="K719" s="1"/>
      <c r="L719" s="1"/>
      <c r="M719" s="9"/>
      <c r="N719" s="1"/>
      <c r="O719" s="1"/>
      <c r="P719" s="9"/>
    </row>
    <row r="720" spans="8:16" ht="13" x14ac:dyDescent="0.15">
      <c r="H720" s="1"/>
      <c r="I720" s="1"/>
      <c r="J720" s="9"/>
      <c r="K720" s="1"/>
      <c r="L720" s="1"/>
      <c r="M720" s="9"/>
      <c r="N720" s="1"/>
      <c r="O720" s="1"/>
      <c r="P720" s="9"/>
    </row>
    <row r="721" spans="8:16" ht="13" x14ac:dyDescent="0.15">
      <c r="H721" s="1"/>
      <c r="I721" s="1"/>
      <c r="J721" s="9"/>
      <c r="K721" s="1"/>
      <c r="L721" s="1"/>
      <c r="M721" s="9"/>
      <c r="N721" s="1"/>
      <c r="O721" s="1"/>
      <c r="P721" s="9"/>
    </row>
    <row r="722" spans="8:16" ht="13" x14ac:dyDescent="0.15">
      <c r="H722" s="1"/>
      <c r="I722" s="1"/>
      <c r="J722" s="9"/>
      <c r="K722" s="1"/>
      <c r="L722" s="1"/>
      <c r="M722" s="9"/>
      <c r="N722" s="1"/>
      <c r="O722" s="1"/>
      <c r="P722" s="9"/>
    </row>
    <row r="723" spans="8:16" ht="13" x14ac:dyDescent="0.15">
      <c r="H723" s="1"/>
      <c r="I723" s="1"/>
      <c r="J723" s="9"/>
      <c r="K723" s="1"/>
      <c r="L723" s="1"/>
      <c r="M723" s="9"/>
      <c r="N723" s="1"/>
      <c r="O723" s="1"/>
      <c r="P723" s="9"/>
    </row>
    <row r="724" spans="8:16" ht="13" x14ac:dyDescent="0.15">
      <c r="H724" s="1"/>
      <c r="I724" s="1"/>
      <c r="J724" s="9"/>
      <c r="K724" s="1"/>
      <c r="L724" s="1"/>
      <c r="M724" s="9"/>
      <c r="N724" s="1"/>
      <c r="O724" s="1"/>
      <c r="P724" s="9"/>
    </row>
    <row r="725" spans="8:16" ht="13" x14ac:dyDescent="0.15">
      <c r="H725" s="1"/>
      <c r="I725" s="1"/>
      <c r="J725" s="9"/>
      <c r="K725" s="1"/>
      <c r="L725" s="1"/>
      <c r="M725" s="9"/>
      <c r="N725" s="1"/>
      <c r="O725" s="1"/>
      <c r="P725" s="9"/>
    </row>
    <row r="726" spans="8:16" ht="13" x14ac:dyDescent="0.15">
      <c r="H726" s="1"/>
      <c r="I726" s="1"/>
      <c r="J726" s="9"/>
      <c r="K726" s="1"/>
      <c r="L726" s="1"/>
      <c r="M726" s="9"/>
      <c r="N726" s="1"/>
      <c r="O726" s="1"/>
      <c r="P726" s="9"/>
    </row>
    <row r="727" spans="8:16" ht="13" x14ac:dyDescent="0.15">
      <c r="H727" s="1"/>
      <c r="I727" s="1"/>
      <c r="J727" s="9"/>
      <c r="K727" s="1"/>
      <c r="L727" s="1"/>
      <c r="M727" s="9"/>
      <c r="N727" s="1"/>
      <c r="O727" s="1"/>
      <c r="P727" s="9"/>
    </row>
    <row r="728" spans="8:16" ht="13" x14ac:dyDescent="0.15">
      <c r="H728" s="1"/>
      <c r="I728" s="1"/>
      <c r="J728" s="9"/>
      <c r="K728" s="1"/>
      <c r="L728" s="1"/>
      <c r="M728" s="9"/>
      <c r="N728" s="1"/>
      <c r="O728" s="1"/>
      <c r="P728" s="9"/>
    </row>
    <row r="729" spans="8:16" ht="13" x14ac:dyDescent="0.15">
      <c r="H729" s="1"/>
      <c r="I729" s="1"/>
      <c r="J729" s="9"/>
      <c r="K729" s="1"/>
      <c r="L729" s="1"/>
      <c r="M729" s="9"/>
      <c r="N729" s="1"/>
      <c r="O729" s="1"/>
      <c r="P729" s="9"/>
    </row>
    <row r="730" spans="8:16" ht="13" x14ac:dyDescent="0.15">
      <c r="H730" s="1"/>
      <c r="I730" s="1"/>
      <c r="J730" s="9"/>
      <c r="K730" s="1"/>
      <c r="L730" s="1"/>
      <c r="M730" s="9"/>
      <c r="N730" s="1"/>
      <c r="O730" s="1"/>
      <c r="P730" s="9"/>
    </row>
    <row r="731" spans="8:16" ht="13" x14ac:dyDescent="0.15">
      <c r="H731" s="1"/>
      <c r="I731" s="1"/>
      <c r="J731" s="9"/>
      <c r="K731" s="1"/>
      <c r="L731" s="1"/>
      <c r="M731" s="9"/>
      <c r="N731" s="1"/>
      <c r="O731" s="1"/>
      <c r="P731" s="9"/>
    </row>
    <row r="732" spans="8:16" ht="13" x14ac:dyDescent="0.15">
      <c r="H732" s="1"/>
      <c r="I732" s="1"/>
      <c r="J732" s="9"/>
      <c r="K732" s="1"/>
      <c r="L732" s="1"/>
      <c r="M732" s="9"/>
      <c r="N732" s="1"/>
      <c r="O732" s="1"/>
      <c r="P732" s="9"/>
    </row>
    <row r="733" spans="8:16" ht="13" x14ac:dyDescent="0.15">
      <c r="H733" s="1"/>
      <c r="I733" s="1"/>
      <c r="J733" s="9"/>
      <c r="K733" s="1"/>
      <c r="L733" s="1"/>
      <c r="M733" s="9"/>
      <c r="N733" s="1"/>
      <c r="O733" s="1"/>
      <c r="P733" s="9"/>
    </row>
    <row r="734" spans="8:16" ht="13" x14ac:dyDescent="0.15">
      <c r="H734" s="1"/>
      <c r="I734" s="1"/>
      <c r="J734" s="9"/>
      <c r="K734" s="1"/>
      <c r="L734" s="1"/>
      <c r="M734" s="9"/>
      <c r="N734" s="1"/>
      <c r="O734" s="1"/>
      <c r="P734" s="9"/>
    </row>
    <row r="735" spans="8:16" ht="13" x14ac:dyDescent="0.15">
      <c r="H735" s="1"/>
      <c r="I735" s="1"/>
      <c r="J735" s="9"/>
      <c r="K735" s="1"/>
      <c r="L735" s="1"/>
      <c r="M735" s="9"/>
      <c r="N735" s="1"/>
      <c r="O735" s="1"/>
      <c r="P735" s="9"/>
    </row>
    <row r="736" spans="8:16" ht="13" x14ac:dyDescent="0.15">
      <c r="H736" s="1"/>
      <c r="I736" s="1"/>
      <c r="J736" s="9"/>
      <c r="K736" s="1"/>
      <c r="L736" s="1"/>
      <c r="M736" s="9"/>
      <c r="N736" s="1"/>
      <c r="O736" s="1"/>
      <c r="P736" s="9"/>
    </row>
    <row r="737" spans="8:16" ht="13" x14ac:dyDescent="0.15">
      <c r="H737" s="1"/>
      <c r="I737" s="1"/>
      <c r="J737" s="9"/>
      <c r="K737" s="1"/>
      <c r="L737" s="1"/>
      <c r="M737" s="9"/>
      <c r="N737" s="1"/>
      <c r="O737" s="1"/>
      <c r="P737" s="9"/>
    </row>
    <row r="738" spans="8:16" ht="13" x14ac:dyDescent="0.15">
      <c r="H738" s="1"/>
      <c r="I738" s="1"/>
      <c r="J738" s="9"/>
      <c r="K738" s="1"/>
      <c r="L738" s="1"/>
      <c r="M738" s="9"/>
      <c r="N738" s="1"/>
      <c r="O738" s="1"/>
      <c r="P738" s="9"/>
    </row>
    <row r="739" spans="8:16" ht="13" x14ac:dyDescent="0.15">
      <c r="H739" s="1"/>
      <c r="I739" s="1"/>
      <c r="J739" s="9"/>
      <c r="K739" s="1"/>
      <c r="L739" s="1"/>
      <c r="M739" s="9"/>
      <c r="N739" s="1"/>
      <c r="O739" s="1"/>
      <c r="P739" s="9"/>
    </row>
    <row r="740" spans="8:16" ht="13" x14ac:dyDescent="0.15">
      <c r="H740" s="1"/>
      <c r="I740" s="1"/>
      <c r="J740" s="9"/>
      <c r="K740" s="1"/>
      <c r="L740" s="1"/>
      <c r="M740" s="9"/>
      <c r="N740" s="1"/>
      <c r="O740" s="1"/>
      <c r="P740" s="9"/>
    </row>
    <row r="741" spans="8:16" ht="13" x14ac:dyDescent="0.15">
      <c r="H741" s="1"/>
      <c r="I741" s="1"/>
      <c r="J741" s="9"/>
      <c r="K741" s="1"/>
      <c r="L741" s="1"/>
      <c r="M741" s="9"/>
      <c r="N741" s="1"/>
      <c r="O741" s="1"/>
      <c r="P741" s="9"/>
    </row>
    <row r="742" spans="8:16" ht="13" x14ac:dyDescent="0.15">
      <c r="H742" s="1"/>
      <c r="I742" s="1"/>
      <c r="J742" s="9"/>
      <c r="K742" s="1"/>
      <c r="L742" s="1"/>
      <c r="M742" s="9"/>
      <c r="N742" s="1"/>
      <c r="O742" s="1"/>
      <c r="P742" s="9"/>
    </row>
    <row r="743" spans="8:16" ht="13" x14ac:dyDescent="0.15">
      <c r="H743" s="1"/>
      <c r="I743" s="1"/>
      <c r="J743" s="9"/>
      <c r="K743" s="1"/>
      <c r="L743" s="1"/>
      <c r="M743" s="9"/>
      <c r="N743" s="1"/>
      <c r="O743" s="1"/>
      <c r="P743" s="9"/>
    </row>
    <row r="744" spans="8:16" ht="13" x14ac:dyDescent="0.15">
      <c r="H744" s="1"/>
      <c r="I744" s="1"/>
      <c r="J744" s="9"/>
      <c r="K744" s="1"/>
      <c r="L744" s="1"/>
      <c r="M744" s="9"/>
      <c r="N744" s="1"/>
      <c r="O744" s="1"/>
      <c r="P744" s="9"/>
    </row>
    <row r="745" spans="8:16" ht="13" x14ac:dyDescent="0.15">
      <c r="H745" s="1"/>
      <c r="I745" s="1"/>
      <c r="J745" s="9"/>
      <c r="K745" s="1"/>
      <c r="L745" s="1"/>
      <c r="M745" s="9"/>
      <c r="N745" s="1"/>
      <c r="O745" s="1"/>
      <c r="P745" s="9"/>
    </row>
    <row r="746" spans="8:16" ht="13" x14ac:dyDescent="0.15">
      <c r="H746" s="1"/>
      <c r="I746" s="1"/>
      <c r="J746" s="9"/>
      <c r="K746" s="1"/>
      <c r="L746" s="1"/>
      <c r="M746" s="9"/>
      <c r="N746" s="1"/>
      <c r="O746" s="1"/>
      <c r="P746" s="9"/>
    </row>
    <row r="747" spans="8:16" ht="13" x14ac:dyDescent="0.15">
      <c r="H747" s="1"/>
      <c r="I747" s="1"/>
      <c r="J747" s="9"/>
      <c r="K747" s="1"/>
      <c r="L747" s="1"/>
      <c r="M747" s="9"/>
      <c r="N747" s="1"/>
      <c r="O747" s="1"/>
      <c r="P747" s="9"/>
    </row>
    <row r="748" spans="8:16" ht="13" x14ac:dyDescent="0.15">
      <c r="H748" s="1"/>
      <c r="I748" s="1"/>
      <c r="J748" s="9"/>
      <c r="K748" s="1"/>
      <c r="L748" s="1"/>
      <c r="M748" s="9"/>
      <c r="N748" s="1"/>
      <c r="O748" s="1"/>
      <c r="P748" s="9"/>
    </row>
    <row r="749" spans="8:16" ht="13" x14ac:dyDescent="0.15">
      <c r="H749" s="1"/>
      <c r="I749" s="1"/>
      <c r="J749" s="9"/>
      <c r="K749" s="1"/>
      <c r="L749" s="1"/>
      <c r="M749" s="9"/>
      <c r="N749" s="1"/>
      <c r="O749" s="1"/>
      <c r="P749" s="9"/>
    </row>
    <row r="750" spans="8:16" ht="13" x14ac:dyDescent="0.15">
      <c r="H750" s="1"/>
      <c r="I750" s="1"/>
      <c r="J750" s="9"/>
      <c r="K750" s="1"/>
      <c r="L750" s="1"/>
      <c r="M750" s="9"/>
      <c r="N750" s="1"/>
      <c r="O750" s="1"/>
      <c r="P750" s="9"/>
    </row>
    <row r="751" spans="8:16" ht="13" x14ac:dyDescent="0.15">
      <c r="H751" s="1"/>
      <c r="I751" s="1"/>
      <c r="J751" s="9"/>
      <c r="K751" s="1"/>
      <c r="L751" s="1"/>
      <c r="M751" s="9"/>
      <c r="N751" s="1"/>
      <c r="O751" s="1"/>
      <c r="P751" s="9"/>
    </row>
    <row r="752" spans="8:16" ht="13" x14ac:dyDescent="0.15">
      <c r="H752" s="1"/>
      <c r="I752" s="1"/>
      <c r="J752" s="9"/>
      <c r="K752" s="1"/>
      <c r="L752" s="1"/>
      <c r="M752" s="9"/>
      <c r="N752" s="1"/>
      <c r="O752" s="1"/>
      <c r="P752" s="9"/>
    </row>
    <row r="753" spans="8:16" ht="13" x14ac:dyDescent="0.15">
      <c r="H753" s="1"/>
      <c r="I753" s="1"/>
      <c r="J753" s="9"/>
      <c r="K753" s="1"/>
      <c r="L753" s="1"/>
      <c r="M753" s="9"/>
      <c r="N753" s="1"/>
      <c r="O753" s="1"/>
      <c r="P753" s="9"/>
    </row>
    <row r="754" spans="8:16" ht="13" x14ac:dyDescent="0.15">
      <c r="H754" s="1"/>
      <c r="I754" s="1"/>
      <c r="J754" s="9"/>
      <c r="K754" s="1"/>
      <c r="L754" s="1"/>
      <c r="M754" s="9"/>
      <c r="N754" s="1"/>
      <c r="O754" s="1"/>
      <c r="P754" s="9"/>
    </row>
    <row r="755" spans="8:16" ht="13" x14ac:dyDescent="0.15">
      <c r="H755" s="1"/>
      <c r="I755" s="1"/>
      <c r="J755" s="9"/>
      <c r="K755" s="1"/>
      <c r="L755" s="1"/>
      <c r="M755" s="9"/>
      <c r="N755" s="1"/>
      <c r="O755" s="1"/>
      <c r="P755" s="9"/>
    </row>
    <row r="756" spans="8:16" ht="13" x14ac:dyDescent="0.15">
      <c r="H756" s="1"/>
      <c r="I756" s="1"/>
      <c r="J756" s="9"/>
      <c r="K756" s="1"/>
      <c r="L756" s="1"/>
      <c r="M756" s="9"/>
      <c r="N756" s="1"/>
      <c r="O756" s="1"/>
      <c r="P756" s="9"/>
    </row>
    <row r="757" spans="8:16" ht="13" x14ac:dyDescent="0.15">
      <c r="H757" s="1"/>
      <c r="I757" s="1"/>
      <c r="J757" s="9"/>
      <c r="K757" s="1"/>
      <c r="L757" s="1"/>
      <c r="M757" s="9"/>
      <c r="N757" s="1"/>
      <c r="O757" s="1"/>
      <c r="P757" s="9"/>
    </row>
    <row r="758" spans="8:16" ht="13" x14ac:dyDescent="0.15">
      <c r="H758" s="1"/>
      <c r="I758" s="1"/>
      <c r="J758" s="9"/>
      <c r="K758" s="1"/>
      <c r="L758" s="1"/>
      <c r="M758" s="9"/>
      <c r="N758" s="1"/>
      <c r="O758" s="1"/>
      <c r="P758" s="9"/>
    </row>
    <row r="759" spans="8:16" ht="13" x14ac:dyDescent="0.15">
      <c r="H759" s="1"/>
      <c r="I759" s="1"/>
      <c r="J759" s="9"/>
      <c r="K759" s="1"/>
      <c r="L759" s="1"/>
      <c r="M759" s="9"/>
      <c r="N759" s="1"/>
      <c r="O759" s="1"/>
      <c r="P759" s="9"/>
    </row>
    <row r="760" spans="8:16" ht="13" x14ac:dyDescent="0.15">
      <c r="H760" s="1"/>
      <c r="I760" s="1"/>
      <c r="J760" s="9"/>
      <c r="K760" s="1"/>
      <c r="L760" s="1"/>
      <c r="M760" s="9"/>
      <c r="N760" s="1"/>
      <c r="O760" s="1"/>
      <c r="P760" s="9"/>
    </row>
    <row r="761" spans="8:16" ht="13" x14ac:dyDescent="0.15">
      <c r="H761" s="1"/>
      <c r="I761" s="1"/>
      <c r="J761" s="9"/>
      <c r="K761" s="1"/>
      <c r="L761" s="1"/>
      <c r="M761" s="9"/>
      <c r="N761" s="1"/>
      <c r="O761" s="1"/>
      <c r="P761" s="9"/>
    </row>
    <row r="762" spans="8:16" ht="13" x14ac:dyDescent="0.15">
      <c r="H762" s="1"/>
      <c r="I762" s="1"/>
      <c r="J762" s="9"/>
      <c r="K762" s="1"/>
      <c r="L762" s="1"/>
      <c r="M762" s="9"/>
      <c r="N762" s="1"/>
      <c r="O762" s="1"/>
      <c r="P762" s="9"/>
    </row>
    <row r="763" spans="8:16" ht="13" x14ac:dyDescent="0.15">
      <c r="H763" s="1"/>
      <c r="I763" s="1"/>
      <c r="J763" s="9"/>
      <c r="K763" s="1"/>
      <c r="L763" s="1"/>
      <c r="M763" s="9"/>
      <c r="N763" s="1"/>
      <c r="O763" s="1"/>
      <c r="P763" s="9"/>
    </row>
    <row r="764" spans="8:16" ht="13" x14ac:dyDescent="0.15">
      <c r="H764" s="1"/>
      <c r="I764" s="1"/>
      <c r="J764" s="9"/>
      <c r="K764" s="1"/>
      <c r="L764" s="1"/>
      <c r="M764" s="9"/>
      <c r="N764" s="1"/>
      <c r="O764" s="1"/>
      <c r="P764" s="9"/>
    </row>
    <row r="765" spans="8:16" ht="13" x14ac:dyDescent="0.15">
      <c r="H765" s="1"/>
      <c r="I765" s="1"/>
      <c r="J765" s="9"/>
      <c r="K765" s="1"/>
      <c r="L765" s="1"/>
      <c r="M765" s="9"/>
      <c r="N765" s="1"/>
      <c r="O765" s="1"/>
      <c r="P765" s="9"/>
    </row>
    <row r="766" spans="8:16" ht="13" x14ac:dyDescent="0.15">
      <c r="H766" s="1"/>
      <c r="I766" s="1"/>
      <c r="J766" s="9"/>
      <c r="K766" s="1"/>
      <c r="L766" s="1"/>
      <c r="M766" s="9"/>
      <c r="N766" s="1"/>
      <c r="O766" s="1"/>
      <c r="P766" s="9"/>
    </row>
    <row r="767" spans="8:16" ht="13" x14ac:dyDescent="0.15">
      <c r="H767" s="1"/>
      <c r="I767" s="1"/>
      <c r="J767" s="9"/>
      <c r="K767" s="1"/>
      <c r="L767" s="1"/>
      <c r="M767" s="9"/>
      <c r="N767" s="1"/>
      <c r="O767" s="1"/>
      <c r="P767" s="9"/>
    </row>
    <row r="768" spans="8:16" ht="13" x14ac:dyDescent="0.15">
      <c r="H768" s="1"/>
      <c r="I768" s="1"/>
      <c r="J768" s="9"/>
      <c r="K768" s="1"/>
      <c r="L768" s="1"/>
      <c r="M768" s="9"/>
      <c r="N768" s="1"/>
      <c r="O768" s="1"/>
      <c r="P768" s="9"/>
    </row>
    <row r="769" spans="8:16" ht="13" x14ac:dyDescent="0.15">
      <c r="H769" s="1"/>
      <c r="I769" s="1"/>
      <c r="J769" s="9"/>
      <c r="K769" s="1"/>
      <c r="L769" s="1"/>
      <c r="M769" s="9"/>
      <c r="N769" s="1"/>
      <c r="O769" s="1"/>
      <c r="P769" s="9"/>
    </row>
    <row r="770" spans="8:16" ht="13" x14ac:dyDescent="0.15">
      <c r="H770" s="1"/>
      <c r="I770" s="1"/>
      <c r="J770" s="9"/>
      <c r="K770" s="1"/>
      <c r="L770" s="1"/>
      <c r="M770" s="9"/>
      <c r="N770" s="1"/>
      <c r="O770" s="1"/>
      <c r="P770" s="9"/>
    </row>
    <row r="771" spans="8:16" ht="13" x14ac:dyDescent="0.15">
      <c r="H771" s="1"/>
      <c r="I771" s="1"/>
      <c r="J771" s="9"/>
      <c r="K771" s="1"/>
      <c r="L771" s="1"/>
      <c r="M771" s="9"/>
      <c r="N771" s="1"/>
      <c r="O771" s="1"/>
      <c r="P771" s="9"/>
    </row>
    <row r="772" spans="8:16" ht="13" x14ac:dyDescent="0.15">
      <c r="H772" s="1"/>
      <c r="I772" s="1"/>
      <c r="J772" s="9"/>
      <c r="K772" s="1"/>
      <c r="L772" s="1"/>
      <c r="M772" s="9"/>
      <c r="N772" s="1"/>
      <c r="O772" s="1"/>
      <c r="P772" s="9"/>
    </row>
    <row r="773" spans="8:16" ht="13" x14ac:dyDescent="0.15">
      <c r="H773" s="1"/>
      <c r="I773" s="1"/>
      <c r="J773" s="9"/>
      <c r="K773" s="1"/>
      <c r="L773" s="1"/>
      <c r="M773" s="9"/>
      <c r="N773" s="1"/>
      <c r="O773" s="1"/>
      <c r="P773" s="9"/>
    </row>
    <row r="774" spans="8:16" ht="13" x14ac:dyDescent="0.15">
      <c r="H774" s="1"/>
      <c r="I774" s="1"/>
      <c r="J774" s="9"/>
      <c r="K774" s="1"/>
      <c r="L774" s="1"/>
      <c r="M774" s="9"/>
      <c r="N774" s="1"/>
      <c r="O774" s="1"/>
      <c r="P774" s="9"/>
    </row>
    <row r="775" spans="8:16" ht="13" x14ac:dyDescent="0.15">
      <c r="H775" s="1"/>
      <c r="I775" s="1"/>
      <c r="J775" s="9"/>
      <c r="K775" s="1"/>
      <c r="L775" s="1"/>
      <c r="M775" s="9"/>
      <c r="N775" s="1"/>
      <c r="O775" s="1"/>
      <c r="P775" s="9"/>
    </row>
    <row r="776" spans="8:16" ht="13" x14ac:dyDescent="0.15">
      <c r="H776" s="1"/>
      <c r="I776" s="1"/>
      <c r="J776" s="9"/>
      <c r="K776" s="1"/>
      <c r="L776" s="1"/>
      <c r="M776" s="9"/>
      <c r="N776" s="1"/>
      <c r="O776" s="1"/>
      <c r="P776" s="9"/>
    </row>
    <row r="777" spans="8:16" ht="13" x14ac:dyDescent="0.15">
      <c r="H777" s="1"/>
      <c r="I777" s="1"/>
      <c r="J777" s="9"/>
      <c r="K777" s="1"/>
      <c r="L777" s="1"/>
      <c r="M777" s="9"/>
      <c r="N777" s="1"/>
      <c r="O777" s="1"/>
      <c r="P777" s="9"/>
    </row>
    <row r="778" spans="8:16" ht="13" x14ac:dyDescent="0.15">
      <c r="H778" s="1"/>
      <c r="I778" s="1"/>
      <c r="J778" s="9"/>
      <c r="K778" s="1"/>
      <c r="L778" s="1"/>
      <c r="M778" s="9"/>
      <c r="N778" s="1"/>
      <c r="O778" s="1"/>
      <c r="P778" s="9"/>
    </row>
    <row r="779" spans="8:16" ht="13" x14ac:dyDescent="0.15">
      <c r="H779" s="1"/>
      <c r="I779" s="1"/>
      <c r="J779" s="9"/>
      <c r="K779" s="1"/>
      <c r="L779" s="1"/>
      <c r="M779" s="9"/>
      <c r="N779" s="1"/>
      <c r="O779" s="1"/>
      <c r="P779" s="9"/>
    </row>
    <row r="780" spans="8:16" ht="13" x14ac:dyDescent="0.15">
      <c r="H780" s="1"/>
      <c r="I780" s="1"/>
      <c r="J780" s="9"/>
      <c r="K780" s="1"/>
      <c r="L780" s="1"/>
      <c r="M780" s="9"/>
      <c r="N780" s="1"/>
      <c r="O780" s="1"/>
      <c r="P780" s="9"/>
    </row>
    <row r="781" spans="8:16" ht="13" x14ac:dyDescent="0.15">
      <c r="H781" s="1"/>
      <c r="I781" s="1"/>
      <c r="J781" s="9"/>
      <c r="K781" s="1"/>
      <c r="L781" s="1"/>
      <c r="M781" s="9"/>
      <c r="N781" s="1"/>
      <c r="O781" s="1"/>
      <c r="P781" s="9"/>
    </row>
    <row r="782" spans="8:16" ht="13" x14ac:dyDescent="0.15">
      <c r="H782" s="1"/>
      <c r="I782" s="1"/>
      <c r="J782" s="9"/>
      <c r="K782" s="1"/>
      <c r="L782" s="1"/>
      <c r="M782" s="9"/>
      <c r="N782" s="1"/>
      <c r="O782" s="1"/>
      <c r="P782" s="9"/>
    </row>
    <row r="783" spans="8:16" ht="13" x14ac:dyDescent="0.15">
      <c r="H783" s="1"/>
      <c r="I783" s="1"/>
      <c r="J783" s="9"/>
      <c r="K783" s="1"/>
      <c r="L783" s="1"/>
      <c r="M783" s="9"/>
      <c r="N783" s="1"/>
      <c r="O783" s="1"/>
      <c r="P783" s="9"/>
    </row>
    <row r="784" spans="8:16" ht="13" x14ac:dyDescent="0.15">
      <c r="H784" s="1"/>
      <c r="I784" s="1"/>
      <c r="J784" s="9"/>
      <c r="K784" s="1"/>
      <c r="L784" s="1"/>
      <c r="M784" s="9"/>
      <c r="N784" s="1"/>
      <c r="O784" s="1"/>
      <c r="P784" s="9"/>
    </row>
    <row r="785" spans="8:16" ht="13" x14ac:dyDescent="0.15">
      <c r="H785" s="1"/>
      <c r="I785" s="1"/>
      <c r="J785" s="9"/>
      <c r="K785" s="1"/>
      <c r="L785" s="1"/>
      <c r="M785" s="9"/>
      <c r="N785" s="1"/>
      <c r="O785" s="1"/>
      <c r="P785" s="9"/>
    </row>
    <row r="786" spans="8:16" ht="13" x14ac:dyDescent="0.15">
      <c r="H786" s="1"/>
      <c r="I786" s="1"/>
      <c r="J786" s="9"/>
      <c r="K786" s="1"/>
      <c r="L786" s="1"/>
      <c r="M786" s="9"/>
      <c r="N786" s="1"/>
      <c r="O786" s="1"/>
      <c r="P786" s="9"/>
    </row>
    <row r="787" spans="8:16" ht="13" x14ac:dyDescent="0.15">
      <c r="H787" s="1"/>
      <c r="I787" s="1"/>
      <c r="J787" s="9"/>
      <c r="K787" s="1"/>
      <c r="L787" s="1"/>
      <c r="M787" s="9"/>
      <c r="N787" s="1"/>
      <c r="O787" s="1"/>
      <c r="P787" s="9"/>
    </row>
    <row r="788" spans="8:16" ht="13" x14ac:dyDescent="0.15">
      <c r="H788" s="1"/>
      <c r="I788" s="1"/>
      <c r="J788" s="9"/>
      <c r="K788" s="1"/>
      <c r="L788" s="1"/>
      <c r="M788" s="9"/>
      <c r="N788" s="1"/>
      <c r="O788" s="1"/>
      <c r="P788" s="9"/>
    </row>
    <row r="789" spans="8:16" ht="13" x14ac:dyDescent="0.15">
      <c r="H789" s="1"/>
      <c r="I789" s="1"/>
      <c r="J789" s="9"/>
      <c r="K789" s="1"/>
      <c r="L789" s="1"/>
      <c r="M789" s="9"/>
      <c r="N789" s="1"/>
      <c r="O789" s="1"/>
      <c r="P789" s="9"/>
    </row>
    <row r="790" spans="8:16" ht="13" x14ac:dyDescent="0.15">
      <c r="H790" s="1"/>
      <c r="I790" s="1"/>
      <c r="J790" s="9"/>
      <c r="K790" s="1"/>
      <c r="L790" s="1"/>
      <c r="M790" s="9"/>
      <c r="N790" s="1"/>
      <c r="O790" s="1"/>
      <c r="P790" s="9"/>
    </row>
    <row r="791" spans="8:16" ht="13" x14ac:dyDescent="0.15">
      <c r="H791" s="1"/>
      <c r="I791" s="1"/>
      <c r="J791" s="9"/>
      <c r="K791" s="1"/>
      <c r="L791" s="1"/>
      <c r="M791" s="9"/>
      <c r="N791" s="1"/>
      <c r="O791" s="1"/>
      <c r="P791" s="9"/>
    </row>
    <row r="792" spans="8:16" ht="13" x14ac:dyDescent="0.15">
      <c r="H792" s="1"/>
      <c r="I792" s="1"/>
      <c r="J792" s="9"/>
      <c r="K792" s="1"/>
      <c r="L792" s="1"/>
      <c r="M792" s="9"/>
      <c r="N792" s="1"/>
      <c r="O792" s="1"/>
      <c r="P792" s="9"/>
    </row>
    <row r="793" spans="8:16" ht="13" x14ac:dyDescent="0.15">
      <c r="H793" s="1"/>
      <c r="I793" s="1"/>
      <c r="J793" s="9"/>
      <c r="K793" s="1"/>
      <c r="L793" s="1"/>
      <c r="M793" s="9"/>
      <c r="N793" s="1"/>
      <c r="O793" s="1"/>
      <c r="P793" s="9"/>
    </row>
    <row r="794" spans="8:16" ht="13" x14ac:dyDescent="0.15">
      <c r="H794" s="1"/>
      <c r="I794" s="1"/>
      <c r="J794" s="9"/>
      <c r="K794" s="1"/>
      <c r="L794" s="1"/>
      <c r="M794" s="9"/>
      <c r="N794" s="1"/>
      <c r="O794" s="1"/>
      <c r="P794" s="9"/>
    </row>
    <row r="795" spans="8:16" ht="13" x14ac:dyDescent="0.15">
      <c r="H795" s="1"/>
      <c r="I795" s="1"/>
      <c r="J795" s="9"/>
      <c r="K795" s="1"/>
      <c r="L795" s="1"/>
      <c r="M795" s="9"/>
      <c r="N795" s="1"/>
      <c r="O795" s="1"/>
      <c r="P795" s="9"/>
    </row>
    <row r="796" spans="8:16" ht="13" x14ac:dyDescent="0.15">
      <c r="H796" s="1"/>
      <c r="I796" s="1"/>
      <c r="J796" s="9"/>
      <c r="K796" s="1"/>
      <c r="L796" s="1"/>
      <c r="M796" s="9"/>
      <c r="N796" s="1"/>
      <c r="O796" s="1"/>
      <c r="P796" s="9"/>
    </row>
    <row r="797" spans="8:16" ht="13" x14ac:dyDescent="0.15">
      <c r="H797" s="1"/>
      <c r="I797" s="1"/>
      <c r="J797" s="9"/>
      <c r="K797" s="1"/>
      <c r="L797" s="1"/>
      <c r="M797" s="9"/>
      <c r="N797" s="1"/>
      <c r="O797" s="1"/>
      <c r="P797" s="9"/>
    </row>
    <row r="798" spans="8:16" ht="13" x14ac:dyDescent="0.15">
      <c r="H798" s="1"/>
      <c r="I798" s="1"/>
      <c r="J798" s="9"/>
      <c r="K798" s="1"/>
      <c r="L798" s="1"/>
      <c r="M798" s="9"/>
      <c r="N798" s="1"/>
      <c r="O798" s="1"/>
      <c r="P798" s="9"/>
    </row>
    <row r="799" spans="8:16" ht="13" x14ac:dyDescent="0.15">
      <c r="H799" s="1"/>
      <c r="I799" s="1"/>
      <c r="J799" s="9"/>
      <c r="K799" s="1"/>
      <c r="L799" s="1"/>
      <c r="M799" s="9"/>
      <c r="N799" s="1"/>
      <c r="O799" s="1"/>
      <c r="P799" s="9"/>
    </row>
    <row r="800" spans="8:16" ht="13" x14ac:dyDescent="0.15">
      <c r="H800" s="1"/>
      <c r="I800" s="1"/>
      <c r="J800" s="9"/>
      <c r="K800" s="1"/>
      <c r="L800" s="1"/>
      <c r="M800" s="9"/>
      <c r="N800" s="1"/>
      <c r="O800" s="1"/>
      <c r="P800" s="9"/>
    </row>
    <row r="801" spans="8:16" ht="13" x14ac:dyDescent="0.15">
      <c r="H801" s="1"/>
      <c r="I801" s="1"/>
      <c r="J801" s="9"/>
      <c r="K801" s="1"/>
      <c r="L801" s="1"/>
      <c r="M801" s="9"/>
      <c r="N801" s="1"/>
      <c r="O801" s="1"/>
      <c r="P801" s="9"/>
    </row>
    <row r="802" spans="8:16" ht="13" x14ac:dyDescent="0.15">
      <c r="H802" s="1"/>
      <c r="I802" s="1"/>
      <c r="J802" s="9"/>
      <c r="K802" s="1"/>
      <c r="L802" s="1"/>
      <c r="M802" s="9"/>
      <c r="N802" s="1"/>
      <c r="O802" s="1"/>
      <c r="P802" s="9"/>
    </row>
    <row r="803" spans="8:16" ht="13" x14ac:dyDescent="0.15">
      <c r="H803" s="1"/>
      <c r="I803" s="1"/>
      <c r="J803" s="9"/>
      <c r="K803" s="1"/>
      <c r="L803" s="1"/>
      <c r="M803" s="9"/>
      <c r="N803" s="1"/>
      <c r="O803" s="1"/>
      <c r="P803" s="9"/>
    </row>
    <row r="804" spans="8:16" ht="13" x14ac:dyDescent="0.15">
      <c r="H804" s="1"/>
      <c r="I804" s="1"/>
      <c r="J804" s="9"/>
      <c r="K804" s="1"/>
      <c r="L804" s="1"/>
      <c r="M804" s="9"/>
      <c r="N804" s="1"/>
      <c r="O804" s="1"/>
      <c r="P804" s="9"/>
    </row>
    <row r="805" spans="8:16" ht="13" x14ac:dyDescent="0.15">
      <c r="H805" s="1"/>
      <c r="I805" s="1"/>
      <c r="J805" s="9"/>
      <c r="K805" s="1"/>
      <c r="L805" s="1"/>
      <c r="M805" s="9"/>
      <c r="N805" s="1"/>
      <c r="O805" s="1"/>
      <c r="P805" s="9"/>
    </row>
    <row r="806" spans="8:16" ht="13" x14ac:dyDescent="0.15">
      <c r="H806" s="1"/>
      <c r="I806" s="1"/>
      <c r="J806" s="9"/>
      <c r="K806" s="1"/>
      <c r="L806" s="1"/>
      <c r="M806" s="9"/>
      <c r="N806" s="1"/>
      <c r="O806" s="1"/>
      <c r="P806" s="9"/>
    </row>
    <row r="807" spans="8:16" ht="13" x14ac:dyDescent="0.15">
      <c r="H807" s="1"/>
      <c r="I807" s="1"/>
      <c r="J807" s="9"/>
      <c r="K807" s="1"/>
      <c r="L807" s="1"/>
      <c r="M807" s="9"/>
      <c r="N807" s="1"/>
      <c r="O807" s="1"/>
      <c r="P807" s="9"/>
    </row>
    <row r="808" spans="8:16" ht="13" x14ac:dyDescent="0.15">
      <c r="H808" s="1"/>
      <c r="I808" s="1"/>
      <c r="J808" s="9"/>
      <c r="K808" s="1"/>
      <c r="L808" s="1"/>
      <c r="M808" s="9"/>
      <c r="N808" s="1"/>
      <c r="O808" s="1"/>
      <c r="P808" s="9"/>
    </row>
    <row r="809" spans="8:16" ht="13" x14ac:dyDescent="0.15">
      <c r="H809" s="1"/>
      <c r="I809" s="1"/>
      <c r="J809" s="9"/>
      <c r="K809" s="1"/>
      <c r="L809" s="1"/>
      <c r="M809" s="9"/>
      <c r="N809" s="1"/>
      <c r="O809" s="1"/>
      <c r="P809" s="9"/>
    </row>
    <row r="810" spans="8:16" ht="13" x14ac:dyDescent="0.15">
      <c r="H810" s="1"/>
      <c r="I810" s="1"/>
      <c r="J810" s="9"/>
      <c r="K810" s="1"/>
      <c r="L810" s="1"/>
      <c r="M810" s="9"/>
      <c r="N810" s="1"/>
      <c r="O810" s="1"/>
      <c r="P810" s="9"/>
    </row>
    <row r="811" spans="8:16" ht="13" x14ac:dyDescent="0.15">
      <c r="H811" s="1"/>
      <c r="I811" s="1"/>
      <c r="J811" s="9"/>
      <c r="K811" s="1"/>
      <c r="L811" s="1"/>
      <c r="M811" s="9"/>
      <c r="N811" s="1"/>
      <c r="O811" s="1"/>
      <c r="P811" s="9"/>
    </row>
    <row r="812" spans="8:16" ht="13" x14ac:dyDescent="0.15">
      <c r="H812" s="1"/>
      <c r="I812" s="1"/>
      <c r="J812" s="9"/>
      <c r="K812" s="1"/>
      <c r="L812" s="1"/>
      <c r="M812" s="9"/>
      <c r="N812" s="1"/>
      <c r="O812" s="1"/>
      <c r="P812" s="9"/>
    </row>
    <row r="813" spans="8:16" ht="13" x14ac:dyDescent="0.15">
      <c r="H813" s="1"/>
      <c r="I813" s="1"/>
      <c r="J813" s="9"/>
      <c r="K813" s="1"/>
      <c r="L813" s="1"/>
      <c r="M813" s="9"/>
      <c r="N813" s="1"/>
      <c r="O813" s="1"/>
      <c r="P813" s="9"/>
    </row>
    <row r="814" spans="8:16" ht="13" x14ac:dyDescent="0.15">
      <c r="H814" s="1"/>
      <c r="I814" s="1"/>
      <c r="J814" s="9"/>
      <c r="K814" s="1"/>
      <c r="L814" s="1"/>
      <c r="M814" s="9"/>
      <c r="N814" s="1"/>
      <c r="O814" s="1"/>
      <c r="P814" s="9"/>
    </row>
    <row r="815" spans="8:16" ht="13" x14ac:dyDescent="0.15">
      <c r="H815" s="1"/>
      <c r="I815" s="1"/>
      <c r="J815" s="9"/>
      <c r="K815" s="1"/>
      <c r="L815" s="1"/>
      <c r="M815" s="9"/>
      <c r="N815" s="1"/>
      <c r="O815" s="1"/>
      <c r="P815" s="9"/>
    </row>
    <row r="816" spans="8:16" ht="13" x14ac:dyDescent="0.15">
      <c r="H816" s="1"/>
      <c r="I816" s="1"/>
      <c r="J816" s="9"/>
      <c r="K816" s="1"/>
      <c r="L816" s="1"/>
      <c r="M816" s="9"/>
      <c r="N816" s="1"/>
      <c r="O816" s="1"/>
      <c r="P816" s="9"/>
    </row>
    <row r="817" spans="8:16" ht="13" x14ac:dyDescent="0.15">
      <c r="H817" s="1"/>
      <c r="I817" s="1"/>
      <c r="J817" s="9"/>
      <c r="K817" s="1"/>
      <c r="L817" s="1"/>
      <c r="M817" s="9"/>
      <c r="N817" s="1"/>
      <c r="O817" s="1"/>
      <c r="P817" s="9"/>
    </row>
    <row r="818" spans="8:16" ht="13" x14ac:dyDescent="0.15">
      <c r="H818" s="1"/>
      <c r="I818" s="1"/>
      <c r="J818" s="9"/>
      <c r="K818" s="1"/>
      <c r="L818" s="1"/>
      <c r="M818" s="9"/>
      <c r="N818" s="1"/>
      <c r="O818" s="1"/>
      <c r="P818" s="9"/>
    </row>
    <row r="819" spans="8:16" ht="13" x14ac:dyDescent="0.15">
      <c r="H819" s="1"/>
      <c r="I819" s="1"/>
      <c r="J819" s="9"/>
      <c r="K819" s="1"/>
      <c r="L819" s="1"/>
      <c r="M819" s="9"/>
      <c r="N819" s="1"/>
      <c r="O819" s="1"/>
      <c r="P819" s="9"/>
    </row>
    <row r="820" spans="8:16" ht="13" x14ac:dyDescent="0.15">
      <c r="H820" s="1"/>
      <c r="I820" s="1"/>
      <c r="J820" s="9"/>
      <c r="K820" s="1"/>
      <c r="L820" s="1"/>
      <c r="M820" s="9"/>
      <c r="N820" s="1"/>
      <c r="O820" s="1"/>
      <c r="P820" s="9"/>
    </row>
    <row r="821" spans="8:16" ht="13" x14ac:dyDescent="0.15">
      <c r="H821" s="1"/>
      <c r="I821" s="1"/>
      <c r="J821" s="9"/>
      <c r="K821" s="1"/>
      <c r="L821" s="1"/>
      <c r="M821" s="9"/>
      <c r="N821" s="1"/>
      <c r="O821" s="1"/>
      <c r="P821" s="9"/>
    </row>
    <row r="822" spans="8:16" ht="13" x14ac:dyDescent="0.15">
      <c r="H822" s="1"/>
      <c r="I822" s="1"/>
      <c r="J822" s="9"/>
      <c r="K822" s="1"/>
      <c r="L822" s="1"/>
      <c r="M822" s="9"/>
      <c r="N822" s="1"/>
      <c r="O822" s="1"/>
      <c r="P822" s="9"/>
    </row>
    <row r="823" spans="8:16" ht="13" x14ac:dyDescent="0.15">
      <c r="H823" s="1"/>
      <c r="I823" s="1"/>
      <c r="J823" s="9"/>
      <c r="K823" s="1"/>
      <c r="L823" s="1"/>
      <c r="M823" s="9"/>
      <c r="N823" s="1"/>
      <c r="O823" s="1"/>
      <c r="P823" s="9"/>
    </row>
    <row r="824" spans="8:16" ht="13" x14ac:dyDescent="0.15">
      <c r="H824" s="1"/>
      <c r="I824" s="1"/>
      <c r="J824" s="9"/>
      <c r="K824" s="1"/>
      <c r="L824" s="1"/>
      <c r="M824" s="9"/>
      <c r="N824" s="1"/>
      <c r="O824" s="1"/>
      <c r="P824" s="9"/>
    </row>
    <row r="825" spans="8:16" ht="13" x14ac:dyDescent="0.15">
      <c r="H825" s="1"/>
      <c r="I825" s="1"/>
      <c r="J825" s="9"/>
      <c r="K825" s="1"/>
      <c r="L825" s="1"/>
      <c r="M825" s="9"/>
      <c r="N825" s="1"/>
      <c r="O825" s="1"/>
      <c r="P825" s="9"/>
    </row>
    <row r="826" spans="8:16" ht="13" x14ac:dyDescent="0.15">
      <c r="H826" s="1"/>
      <c r="I826" s="1"/>
      <c r="J826" s="9"/>
      <c r="K826" s="1"/>
      <c r="L826" s="1"/>
      <c r="M826" s="9"/>
      <c r="N826" s="1"/>
      <c r="O826" s="1"/>
      <c r="P826" s="9"/>
    </row>
    <row r="827" spans="8:16" ht="13" x14ac:dyDescent="0.15">
      <c r="H827" s="1"/>
      <c r="I827" s="1"/>
      <c r="J827" s="9"/>
      <c r="K827" s="1"/>
      <c r="L827" s="1"/>
      <c r="M827" s="9"/>
      <c r="N827" s="1"/>
      <c r="O827" s="1"/>
      <c r="P827" s="9"/>
    </row>
    <row r="828" spans="8:16" ht="13" x14ac:dyDescent="0.15">
      <c r="H828" s="1"/>
      <c r="I828" s="1"/>
      <c r="J828" s="9"/>
      <c r="K828" s="1"/>
      <c r="L828" s="1"/>
      <c r="M828" s="9"/>
      <c r="N828" s="1"/>
      <c r="O828" s="1"/>
      <c r="P828" s="9"/>
    </row>
    <row r="829" spans="8:16" ht="13" x14ac:dyDescent="0.15">
      <c r="H829" s="1"/>
      <c r="I829" s="1"/>
      <c r="J829" s="9"/>
      <c r="K829" s="1"/>
      <c r="L829" s="1"/>
      <c r="M829" s="9"/>
      <c r="N829" s="1"/>
      <c r="O829" s="1"/>
      <c r="P829" s="9"/>
    </row>
    <row r="830" spans="8:16" ht="13" x14ac:dyDescent="0.15">
      <c r="H830" s="1"/>
      <c r="I830" s="1"/>
      <c r="J830" s="9"/>
      <c r="K830" s="1"/>
      <c r="L830" s="1"/>
      <c r="M830" s="9"/>
      <c r="N830" s="1"/>
      <c r="O830" s="1"/>
      <c r="P830" s="9"/>
    </row>
    <row r="831" spans="8:16" ht="13" x14ac:dyDescent="0.15">
      <c r="H831" s="1"/>
      <c r="I831" s="1"/>
      <c r="J831" s="9"/>
      <c r="K831" s="1"/>
      <c r="L831" s="1"/>
      <c r="M831" s="9"/>
      <c r="N831" s="1"/>
      <c r="O831" s="1"/>
      <c r="P831" s="9"/>
    </row>
    <row r="832" spans="8:16" ht="13" x14ac:dyDescent="0.15">
      <c r="H832" s="1"/>
      <c r="I832" s="1"/>
      <c r="J832" s="9"/>
      <c r="K832" s="1"/>
      <c r="L832" s="1"/>
      <c r="M832" s="9"/>
      <c r="N832" s="1"/>
      <c r="O832" s="1"/>
      <c r="P832" s="9"/>
    </row>
    <row r="833" spans="8:16" ht="13" x14ac:dyDescent="0.15">
      <c r="H833" s="1"/>
      <c r="I833" s="1"/>
      <c r="J833" s="9"/>
      <c r="K833" s="1"/>
      <c r="L833" s="1"/>
      <c r="M833" s="9"/>
      <c r="N833" s="1"/>
      <c r="O833" s="1"/>
      <c r="P833" s="9"/>
    </row>
    <row r="834" spans="8:16" ht="13" x14ac:dyDescent="0.15">
      <c r="H834" s="1"/>
      <c r="I834" s="1"/>
      <c r="J834" s="9"/>
      <c r="K834" s="1"/>
      <c r="L834" s="1"/>
      <c r="M834" s="9"/>
      <c r="N834" s="1"/>
      <c r="O834" s="1"/>
      <c r="P834" s="9"/>
    </row>
    <row r="835" spans="8:16" ht="13" x14ac:dyDescent="0.15">
      <c r="H835" s="1"/>
      <c r="I835" s="1"/>
      <c r="J835" s="9"/>
      <c r="K835" s="1"/>
      <c r="L835" s="1"/>
      <c r="M835" s="9"/>
      <c r="N835" s="1"/>
      <c r="O835" s="1"/>
      <c r="P835" s="9"/>
    </row>
    <row r="836" spans="8:16" ht="13" x14ac:dyDescent="0.15">
      <c r="H836" s="1"/>
      <c r="I836" s="1"/>
      <c r="J836" s="9"/>
      <c r="K836" s="1"/>
      <c r="L836" s="1"/>
      <c r="M836" s="9"/>
      <c r="N836" s="1"/>
      <c r="O836" s="1"/>
      <c r="P836" s="9"/>
    </row>
    <row r="837" spans="8:16" ht="13" x14ac:dyDescent="0.15">
      <c r="H837" s="1"/>
      <c r="I837" s="1"/>
      <c r="J837" s="9"/>
      <c r="K837" s="1"/>
      <c r="L837" s="1"/>
      <c r="M837" s="9"/>
      <c r="N837" s="1"/>
      <c r="O837" s="1"/>
      <c r="P837" s="9"/>
    </row>
    <row r="838" spans="8:16" ht="13" x14ac:dyDescent="0.15">
      <c r="H838" s="1"/>
      <c r="I838" s="1"/>
      <c r="J838" s="9"/>
      <c r="K838" s="1"/>
      <c r="L838" s="1"/>
      <c r="M838" s="9"/>
      <c r="N838" s="1"/>
      <c r="O838" s="1"/>
      <c r="P838" s="9"/>
    </row>
    <row r="839" spans="8:16" ht="13" x14ac:dyDescent="0.15">
      <c r="H839" s="1"/>
      <c r="I839" s="1"/>
      <c r="J839" s="9"/>
      <c r="K839" s="1"/>
      <c r="L839" s="1"/>
      <c r="M839" s="9"/>
      <c r="N839" s="1"/>
      <c r="O839" s="1"/>
      <c r="P839" s="9"/>
    </row>
    <row r="840" spans="8:16" ht="13" x14ac:dyDescent="0.15">
      <c r="H840" s="1"/>
      <c r="I840" s="1"/>
      <c r="J840" s="9"/>
      <c r="K840" s="1"/>
      <c r="L840" s="1"/>
      <c r="M840" s="9"/>
      <c r="N840" s="1"/>
      <c r="O840" s="1"/>
      <c r="P840" s="9"/>
    </row>
    <row r="841" spans="8:16" ht="13" x14ac:dyDescent="0.15">
      <c r="H841" s="1"/>
      <c r="I841" s="1"/>
      <c r="J841" s="9"/>
      <c r="K841" s="1"/>
      <c r="L841" s="1"/>
      <c r="M841" s="9"/>
      <c r="N841" s="1"/>
      <c r="O841" s="1"/>
      <c r="P841" s="9"/>
    </row>
    <row r="842" spans="8:16" ht="13" x14ac:dyDescent="0.15">
      <c r="H842" s="1"/>
      <c r="I842" s="1"/>
      <c r="J842" s="9"/>
      <c r="K842" s="1"/>
      <c r="L842" s="1"/>
      <c r="M842" s="9"/>
      <c r="N842" s="1"/>
      <c r="O842" s="1"/>
      <c r="P842" s="9"/>
    </row>
    <row r="843" spans="8:16" ht="13" x14ac:dyDescent="0.15">
      <c r="H843" s="1"/>
      <c r="I843" s="1"/>
      <c r="J843" s="9"/>
      <c r="K843" s="1"/>
      <c r="L843" s="1"/>
      <c r="M843" s="9"/>
      <c r="N843" s="1"/>
      <c r="O843" s="1"/>
      <c r="P843" s="9"/>
    </row>
    <row r="844" spans="8:16" ht="13" x14ac:dyDescent="0.15">
      <c r="H844" s="1"/>
      <c r="I844" s="1"/>
      <c r="J844" s="9"/>
      <c r="K844" s="1"/>
      <c r="L844" s="1"/>
      <c r="M844" s="9"/>
      <c r="N844" s="1"/>
      <c r="O844" s="1"/>
      <c r="P844" s="9"/>
    </row>
    <row r="845" spans="8:16" ht="13" x14ac:dyDescent="0.15">
      <c r="H845" s="1"/>
      <c r="I845" s="1"/>
      <c r="J845" s="9"/>
      <c r="K845" s="1"/>
      <c r="L845" s="1"/>
      <c r="M845" s="9"/>
      <c r="N845" s="1"/>
      <c r="O845" s="1"/>
      <c r="P845" s="9"/>
    </row>
    <row r="846" spans="8:16" ht="13" x14ac:dyDescent="0.15">
      <c r="H846" s="1"/>
      <c r="I846" s="1"/>
      <c r="J846" s="9"/>
      <c r="K846" s="1"/>
      <c r="L846" s="1"/>
      <c r="M846" s="9"/>
      <c r="N846" s="1"/>
      <c r="O846" s="1"/>
      <c r="P846" s="9"/>
    </row>
    <row r="847" spans="8:16" ht="13" x14ac:dyDescent="0.15">
      <c r="H847" s="1"/>
      <c r="I847" s="1"/>
      <c r="J847" s="9"/>
      <c r="K847" s="1"/>
      <c r="L847" s="1"/>
      <c r="M847" s="9"/>
      <c r="N847" s="1"/>
      <c r="O847" s="1"/>
      <c r="P847" s="9"/>
    </row>
    <row r="848" spans="8:16" ht="13" x14ac:dyDescent="0.15">
      <c r="H848" s="1"/>
      <c r="I848" s="1"/>
      <c r="J848" s="9"/>
      <c r="K848" s="1"/>
      <c r="L848" s="1"/>
      <c r="M848" s="9"/>
      <c r="N848" s="1"/>
      <c r="O848" s="1"/>
      <c r="P848" s="9"/>
    </row>
    <row r="849" spans="8:16" ht="13" x14ac:dyDescent="0.15">
      <c r="H849" s="1"/>
      <c r="I849" s="1"/>
      <c r="J849" s="9"/>
      <c r="K849" s="1"/>
      <c r="L849" s="1"/>
      <c r="M849" s="9"/>
      <c r="N849" s="1"/>
      <c r="O849" s="1"/>
      <c r="P849" s="9"/>
    </row>
    <row r="850" spans="8:16" ht="13" x14ac:dyDescent="0.15">
      <c r="H850" s="1"/>
      <c r="I850" s="1"/>
      <c r="J850" s="9"/>
      <c r="K850" s="1"/>
      <c r="L850" s="1"/>
      <c r="M850" s="9"/>
      <c r="N850" s="1"/>
      <c r="O850" s="1"/>
      <c r="P850" s="9"/>
    </row>
    <row r="851" spans="8:16" ht="13" x14ac:dyDescent="0.15">
      <c r="H851" s="1"/>
      <c r="I851" s="1"/>
      <c r="J851" s="9"/>
      <c r="K851" s="1"/>
      <c r="L851" s="1"/>
      <c r="M851" s="9"/>
      <c r="N851" s="1"/>
      <c r="O851" s="1"/>
      <c r="P851" s="9"/>
    </row>
    <row r="852" spans="8:16" ht="13" x14ac:dyDescent="0.15">
      <c r="H852" s="1"/>
      <c r="I852" s="1"/>
      <c r="J852" s="9"/>
      <c r="K852" s="1"/>
      <c r="L852" s="1"/>
      <c r="M852" s="9"/>
      <c r="N852" s="1"/>
      <c r="O852" s="1"/>
      <c r="P852" s="9"/>
    </row>
    <row r="853" spans="8:16" ht="13" x14ac:dyDescent="0.15">
      <c r="H853" s="1"/>
      <c r="I853" s="1"/>
      <c r="J853" s="9"/>
      <c r="K853" s="1"/>
      <c r="L853" s="1"/>
      <c r="M853" s="9"/>
      <c r="N853" s="1"/>
      <c r="O853" s="1"/>
      <c r="P853" s="9"/>
    </row>
    <row r="854" spans="8:16" ht="13" x14ac:dyDescent="0.15">
      <c r="H854" s="1"/>
      <c r="I854" s="1"/>
      <c r="J854" s="9"/>
      <c r="K854" s="1"/>
      <c r="L854" s="1"/>
      <c r="M854" s="9"/>
      <c r="N854" s="1"/>
      <c r="O854" s="1"/>
      <c r="P854" s="9"/>
    </row>
    <row r="855" spans="8:16" ht="13" x14ac:dyDescent="0.15">
      <c r="H855" s="1"/>
      <c r="I855" s="1"/>
      <c r="J855" s="9"/>
      <c r="K855" s="1"/>
      <c r="L855" s="1"/>
      <c r="M855" s="9"/>
      <c r="N855" s="1"/>
      <c r="O855" s="1"/>
      <c r="P855" s="9"/>
    </row>
    <row r="856" spans="8:16" ht="13" x14ac:dyDescent="0.15">
      <c r="H856" s="1"/>
      <c r="I856" s="1"/>
      <c r="J856" s="9"/>
      <c r="K856" s="1"/>
      <c r="L856" s="1"/>
      <c r="M856" s="9"/>
      <c r="N856" s="1"/>
      <c r="O856" s="1"/>
      <c r="P856" s="9"/>
    </row>
    <row r="857" spans="8:16" ht="13" x14ac:dyDescent="0.15">
      <c r="H857" s="1"/>
      <c r="I857" s="1"/>
      <c r="J857" s="9"/>
      <c r="K857" s="1"/>
      <c r="L857" s="1"/>
      <c r="M857" s="9"/>
      <c r="N857" s="1"/>
      <c r="O857" s="1"/>
      <c r="P857" s="9"/>
    </row>
    <row r="858" spans="8:16" ht="13" x14ac:dyDescent="0.15">
      <c r="H858" s="1"/>
      <c r="I858" s="1"/>
      <c r="J858" s="9"/>
      <c r="K858" s="1"/>
      <c r="L858" s="1"/>
      <c r="M858" s="9"/>
      <c r="N858" s="1"/>
      <c r="O858" s="1"/>
      <c r="P858" s="9"/>
    </row>
    <row r="859" spans="8:16" ht="13" x14ac:dyDescent="0.15">
      <c r="H859" s="1"/>
      <c r="I859" s="1"/>
      <c r="J859" s="9"/>
      <c r="K859" s="1"/>
      <c r="L859" s="1"/>
      <c r="M859" s="9"/>
      <c r="N859" s="1"/>
      <c r="O859" s="1"/>
      <c r="P859" s="9"/>
    </row>
    <row r="860" spans="8:16" ht="13" x14ac:dyDescent="0.15">
      <c r="H860" s="1"/>
      <c r="I860" s="1"/>
      <c r="J860" s="9"/>
      <c r="K860" s="1"/>
      <c r="L860" s="1"/>
      <c r="M860" s="9"/>
      <c r="N860" s="1"/>
      <c r="O860" s="1"/>
      <c r="P860" s="9"/>
    </row>
    <row r="861" spans="8:16" ht="13" x14ac:dyDescent="0.15">
      <c r="H861" s="1"/>
      <c r="I861" s="1"/>
      <c r="J861" s="9"/>
      <c r="K861" s="1"/>
      <c r="L861" s="1"/>
      <c r="M861" s="9"/>
      <c r="N861" s="1"/>
      <c r="O861" s="1"/>
      <c r="P861" s="9"/>
    </row>
    <row r="862" spans="8:16" ht="13" x14ac:dyDescent="0.15">
      <c r="H862" s="1"/>
      <c r="I862" s="1"/>
      <c r="J862" s="9"/>
      <c r="K862" s="1"/>
      <c r="L862" s="1"/>
      <c r="M862" s="9"/>
      <c r="N862" s="1"/>
      <c r="O862" s="1"/>
      <c r="P862" s="9"/>
    </row>
    <row r="863" spans="8:16" ht="13" x14ac:dyDescent="0.15">
      <c r="H863" s="1"/>
      <c r="I863" s="1"/>
      <c r="J863" s="9"/>
      <c r="K863" s="1"/>
      <c r="L863" s="1"/>
      <c r="M863" s="9"/>
      <c r="N863" s="1"/>
      <c r="O863" s="1"/>
      <c r="P863" s="9"/>
    </row>
    <row r="864" spans="8:16" ht="13" x14ac:dyDescent="0.15">
      <c r="H864" s="1"/>
      <c r="I864" s="1"/>
      <c r="J864" s="9"/>
      <c r="K864" s="1"/>
      <c r="L864" s="1"/>
      <c r="M864" s="9"/>
      <c r="N864" s="1"/>
      <c r="O864" s="1"/>
      <c r="P864" s="9"/>
    </row>
    <row r="865" spans="8:16" ht="13" x14ac:dyDescent="0.15">
      <c r="H865" s="1"/>
      <c r="I865" s="1"/>
      <c r="J865" s="9"/>
      <c r="K865" s="1"/>
      <c r="L865" s="1"/>
      <c r="M865" s="9"/>
      <c r="N865" s="1"/>
      <c r="O865" s="1"/>
      <c r="P865" s="9"/>
    </row>
    <row r="866" spans="8:16" ht="13" x14ac:dyDescent="0.15">
      <c r="H866" s="1"/>
      <c r="I866" s="1"/>
      <c r="J866" s="9"/>
      <c r="K866" s="1"/>
      <c r="L866" s="1"/>
      <c r="M866" s="9"/>
      <c r="N866" s="1"/>
      <c r="O866" s="1"/>
      <c r="P866" s="9"/>
    </row>
    <row r="867" spans="8:16" ht="13" x14ac:dyDescent="0.15">
      <c r="H867" s="1"/>
      <c r="I867" s="1"/>
      <c r="J867" s="9"/>
      <c r="K867" s="1"/>
      <c r="L867" s="1"/>
      <c r="M867" s="9"/>
      <c r="N867" s="1"/>
      <c r="O867" s="1"/>
      <c r="P867" s="9"/>
    </row>
    <row r="868" spans="8:16" ht="13" x14ac:dyDescent="0.15">
      <c r="H868" s="1"/>
      <c r="I868" s="1"/>
      <c r="J868" s="9"/>
      <c r="K868" s="1"/>
      <c r="L868" s="1"/>
      <c r="M868" s="9"/>
      <c r="N868" s="1"/>
      <c r="O868" s="1"/>
      <c r="P868" s="9"/>
    </row>
    <row r="869" spans="8:16" ht="13" x14ac:dyDescent="0.15">
      <c r="H869" s="1"/>
      <c r="I869" s="1"/>
      <c r="J869" s="9"/>
      <c r="K869" s="1"/>
      <c r="L869" s="1"/>
      <c r="M869" s="9"/>
      <c r="N869" s="1"/>
      <c r="O869" s="1"/>
      <c r="P869" s="9"/>
    </row>
    <row r="870" spans="8:16" ht="13" x14ac:dyDescent="0.15">
      <c r="H870" s="1"/>
      <c r="I870" s="1"/>
      <c r="J870" s="9"/>
      <c r="K870" s="1"/>
      <c r="L870" s="1"/>
      <c r="M870" s="9"/>
      <c r="N870" s="1"/>
      <c r="O870" s="1"/>
      <c r="P870" s="9"/>
    </row>
    <row r="871" spans="8:16" ht="13" x14ac:dyDescent="0.15">
      <c r="H871" s="1"/>
      <c r="I871" s="1"/>
      <c r="J871" s="9"/>
      <c r="K871" s="1"/>
      <c r="L871" s="1"/>
      <c r="M871" s="9"/>
      <c r="N871" s="1"/>
      <c r="O871" s="1"/>
      <c r="P871" s="9"/>
    </row>
    <row r="872" spans="8:16" ht="13" x14ac:dyDescent="0.15">
      <c r="H872" s="1"/>
      <c r="I872" s="1"/>
      <c r="J872" s="9"/>
      <c r="K872" s="1"/>
      <c r="L872" s="1"/>
      <c r="M872" s="9"/>
      <c r="N872" s="1"/>
      <c r="O872" s="1"/>
      <c r="P872" s="9"/>
    </row>
    <row r="873" spans="8:16" ht="13" x14ac:dyDescent="0.15">
      <c r="H873" s="1"/>
      <c r="I873" s="1"/>
      <c r="J873" s="9"/>
      <c r="K873" s="1"/>
      <c r="L873" s="1"/>
      <c r="M873" s="9"/>
      <c r="N873" s="1"/>
      <c r="O873" s="1"/>
      <c r="P873" s="9"/>
    </row>
    <row r="874" spans="8:16" ht="13" x14ac:dyDescent="0.15">
      <c r="H874" s="1"/>
      <c r="I874" s="1"/>
      <c r="J874" s="9"/>
      <c r="K874" s="1"/>
      <c r="L874" s="1"/>
      <c r="M874" s="9"/>
      <c r="N874" s="1"/>
      <c r="O874" s="1"/>
      <c r="P874" s="9"/>
    </row>
    <row r="875" spans="8:16" ht="13" x14ac:dyDescent="0.15">
      <c r="H875" s="1"/>
      <c r="I875" s="1"/>
      <c r="J875" s="9"/>
      <c r="K875" s="1"/>
      <c r="L875" s="1"/>
      <c r="M875" s="9"/>
      <c r="N875" s="1"/>
      <c r="O875" s="1"/>
      <c r="P875" s="9"/>
    </row>
    <row r="876" spans="8:16" ht="13" x14ac:dyDescent="0.15">
      <c r="H876" s="1"/>
      <c r="I876" s="1"/>
      <c r="J876" s="9"/>
      <c r="K876" s="1"/>
      <c r="L876" s="1"/>
      <c r="M876" s="9"/>
      <c r="N876" s="1"/>
      <c r="O876" s="1"/>
      <c r="P876" s="9"/>
    </row>
    <row r="877" spans="8:16" ht="13" x14ac:dyDescent="0.15">
      <c r="H877" s="1"/>
      <c r="I877" s="1"/>
      <c r="J877" s="9"/>
      <c r="K877" s="1"/>
      <c r="L877" s="1"/>
      <c r="M877" s="9"/>
      <c r="N877" s="1"/>
      <c r="O877" s="1"/>
      <c r="P877" s="9"/>
    </row>
    <row r="878" spans="8:16" ht="13" x14ac:dyDescent="0.15">
      <c r="H878" s="1"/>
      <c r="I878" s="1"/>
      <c r="J878" s="9"/>
      <c r="K878" s="1"/>
      <c r="L878" s="1"/>
      <c r="M878" s="9"/>
      <c r="N878" s="1"/>
      <c r="O878" s="1"/>
      <c r="P878" s="9"/>
    </row>
    <row r="879" spans="8:16" ht="13" x14ac:dyDescent="0.15">
      <c r="H879" s="1"/>
      <c r="I879" s="1"/>
      <c r="J879" s="9"/>
      <c r="K879" s="1"/>
      <c r="L879" s="1"/>
      <c r="M879" s="9"/>
      <c r="N879" s="1"/>
      <c r="O879" s="1"/>
      <c r="P879" s="9"/>
    </row>
    <row r="880" spans="8:16" ht="13" x14ac:dyDescent="0.15">
      <c r="H880" s="1"/>
      <c r="I880" s="1"/>
      <c r="J880" s="9"/>
      <c r="K880" s="1"/>
      <c r="L880" s="1"/>
      <c r="M880" s="9"/>
      <c r="N880" s="1"/>
      <c r="O880" s="1"/>
      <c r="P880" s="9"/>
    </row>
    <row r="881" spans="8:16" ht="13" x14ac:dyDescent="0.15">
      <c r="H881" s="1"/>
      <c r="I881" s="1"/>
      <c r="J881" s="9"/>
      <c r="K881" s="1"/>
      <c r="L881" s="1"/>
      <c r="M881" s="9"/>
      <c r="N881" s="1"/>
      <c r="O881" s="1"/>
      <c r="P881" s="9"/>
    </row>
    <row r="882" spans="8:16" ht="13" x14ac:dyDescent="0.15">
      <c r="H882" s="1"/>
      <c r="I882" s="1"/>
      <c r="J882" s="9"/>
      <c r="K882" s="1"/>
      <c r="L882" s="1"/>
      <c r="M882" s="9"/>
      <c r="N882" s="1"/>
      <c r="O882" s="1"/>
      <c r="P882" s="9"/>
    </row>
    <row r="883" spans="8:16" ht="13" x14ac:dyDescent="0.15">
      <c r="H883" s="1"/>
      <c r="I883" s="1"/>
      <c r="J883" s="9"/>
      <c r="K883" s="1"/>
      <c r="L883" s="1"/>
      <c r="M883" s="9"/>
      <c r="N883" s="1"/>
      <c r="O883" s="1"/>
      <c r="P883" s="9"/>
    </row>
    <row r="884" spans="8:16" ht="13" x14ac:dyDescent="0.15">
      <c r="H884" s="1"/>
      <c r="I884" s="1"/>
      <c r="J884" s="9"/>
      <c r="K884" s="1"/>
      <c r="L884" s="1"/>
      <c r="M884" s="9"/>
      <c r="N884" s="1"/>
      <c r="O884" s="1"/>
      <c r="P884" s="9"/>
    </row>
    <row r="885" spans="8:16" ht="13" x14ac:dyDescent="0.15">
      <c r="H885" s="1"/>
      <c r="I885" s="1"/>
      <c r="J885" s="9"/>
      <c r="K885" s="1"/>
      <c r="L885" s="1"/>
      <c r="M885" s="9"/>
      <c r="N885" s="1"/>
      <c r="O885" s="1"/>
      <c r="P885" s="9"/>
    </row>
    <row r="886" spans="8:16" ht="13" x14ac:dyDescent="0.15">
      <c r="H886" s="1"/>
      <c r="I886" s="1"/>
      <c r="J886" s="9"/>
      <c r="K886" s="1"/>
      <c r="L886" s="1"/>
      <c r="M886" s="9"/>
      <c r="N886" s="1"/>
      <c r="O886" s="1"/>
      <c r="P886" s="9"/>
    </row>
    <row r="887" spans="8:16" ht="13" x14ac:dyDescent="0.15">
      <c r="H887" s="1"/>
      <c r="I887" s="1"/>
      <c r="J887" s="9"/>
      <c r="K887" s="1"/>
      <c r="L887" s="1"/>
      <c r="M887" s="9"/>
      <c r="N887" s="1"/>
      <c r="O887" s="1"/>
      <c r="P887" s="9"/>
    </row>
    <row r="888" spans="8:16" ht="13" x14ac:dyDescent="0.15">
      <c r="H888" s="1"/>
      <c r="I888" s="1"/>
      <c r="J888" s="9"/>
      <c r="K888" s="1"/>
      <c r="L888" s="1"/>
      <c r="M888" s="9"/>
      <c r="N888" s="1"/>
      <c r="O888" s="1"/>
      <c r="P888" s="9"/>
    </row>
    <row r="889" spans="8:16" ht="13" x14ac:dyDescent="0.15">
      <c r="H889" s="1"/>
      <c r="I889" s="1"/>
      <c r="J889" s="9"/>
      <c r="K889" s="1"/>
      <c r="L889" s="1"/>
      <c r="M889" s="9"/>
      <c r="N889" s="1"/>
      <c r="O889" s="1"/>
      <c r="P889" s="9"/>
    </row>
    <row r="890" spans="8:16" ht="13" x14ac:dyDescent="0.15">
      <c r="H890" s="1"/>
      <c r="I890" s="1"/>
      <c r="J890" s="9"/>
      <c r="K890" s="1"/>
      <c r="L890" s="1"/>
      <c r="M890" s="9"/>
      <c r="N890" s="1"/>
      <c r="O890" s="1"/>
      <c r="P890" s="9"/>
    </row>
    <row r="891" spans="8:16" ht="13" x14ac:dyDescent="0.15">
      <c r="H891" s="1"/>
      <c r="I891" s="1"/>
      <c r="J891" s="9"/>
      <c r="K891" s="1"/>
      <c r="L891" s="1"/>
      <c r="M891" s="9"/>
      <c r="N891" s="1"/>
      <c r="O891" s="1"/>
      <c r="P891" s="9"/>
    </row>
    <row r="892" spans="8:16" ht="13" x14ac:dyDescent="0.15">
      <c r="H892" s="1"/>
      <c r="I892" s="1"/>
      <c r="J892" s="9"/>
      <c r="K892" s="1"/>
      <c r="L892" s="1"/>
      <c r="M892" s="9"/>
      <c r="N892" s="1"/>
      <c r="O892" s="1"/>
      <c r="P892" s="9"/>
    </row>
    <row r="893" spans="8:16" ht="13" x14ac:dyDescent="0.15">
      <c r="H893" s="1"/>
      <c r="I893" s="1"/>
      <c r="J893" s="9"/>
      <c r="K893" s="1"/>
      <c r="L893" s="1"/>
      <c r="M893" s="9"/>
      <c r="N893" s="1"/>
      <c r="O893" s="1"/>
      <c r="P893" s="9"/>
    </row>
    <row r="894" spans="8:16" ht="13" x14ac:dyDescent="0.15">
      <c r="H894" s="1"/>
      <c r="I894" s="1"/>
      <c r="J894" s="9"/>
      <c r="K894" s="1"/>
      <c r="L894" s="1"/>
      <c r="M894" s="9"/>
      <c r="N894" s="1"/>
      <c r="O894" s="1"/>
      <c r="P894" s="9"/>
    </row>
    <row r="895" spans="8:16" ht="13" x14ac:dyDescent="0.15">
      <c r="H895" s="1"/>
      <c r="I895" s="1"/>
      <c r="J895" s="9"/>
      <c r="K895" s="1"/>
      <c r="L895" s="1"/>
      <c r="M895" s="9"/>
      <c r="N895" s="1"/>
      <c r="O895" s="1"/>
      <c r="P895" s="9"/>
    </row>
    <row r="896" spans="8:16" ht="13" x14ac:dyDescent="0.15">
      <c r="H896" s="1"/>
      <c r="I896" s="1"/>
      <c r="J896" s="9"/>
      <c r="K896" s="1"/>
      <c r="L896" s="1"/>
      <c r="M896" s="9"/>
      <c r="N896" s="1"/>
      <c r="O896" s="1"/>
      <c r="P896" s="9"/>
    </row>
    <row r="897" spans="8:16" ht="13" x14ac:dyDescent="0.15">
      <c r="H897" s="1"/>
      <c r="I897" s="1"/>
      <c r="J897" s="9"/>
      <c r="K897" s="1"/>
      <c r="L897" s="1"/>
      <c r="M897" s="9"/>
      <c r="N897" s="1"/>
      <c r="O897" s="1"/>
      <c r="P897" s="9"/>
    </row>
    <row r="898" spans="8:16" ht="13" x14ac:dyDescent="0.15">
      <c r="H898" s="1"/>
      <c r="I898" s="1"/>
      <c r="J898" s="9"/>
      <c r="K898" s="1"/>
      <c r="L898" s="1"/>
      <c r="M898" s="9"/>
      <c r="N898" s="1"/>
      <c r="O898" s="1"/>
      <c r="P898" s="9"/>
    </row>
    <row r="899" spans="8:16" ht="13" x14ac:dyDescent="0.15">
      <c r="H899" s="1"/>
      <c r="I899" s="1"/>
      <c r="J899" s="9"/>
      <c r="K899" s="1"/>
      <c r="L899" s="1"/>
      <c r="M899" s="9"/>
      <c r="N899" s="1"/>
      <c r="O899" s="1"/>
      <c r="P899" s="9"/>
    </row>
    <row r="900" spans="8:16" ht="13" x14ac:dyDescent="0.15">
      <c r="H900" s="1"/>
      <c r="I900" s="1"/>
      <c r="J900" s="9"/>
      <c r="K900" s="1"/>
      <c r="L900" s="1"/>
      <c r="M900" s="9"/>
      <c r="N900" s="1"/>
      <c r="O900" s="1"/>
      <c r="P900" s="9"/>
    </row>
    <row r="901" spans="8:16" ht="13" x14ac:dyDescent="0.15">
      <c r="H901" s="1"/>
      <c r="I901" s="1"/>
      <c r="J901" s="9"/>
      <c r="K901" s="1"/>
      <c r="L901" s="1"/>
      <c r="M901" s="9"/>
      <c r="N901" s="1"/>
      <c r="O901" s="1"/>
      <c r="P901" s="9"/>
    </row>
    <row r="902" spans="8:16" ht="13" x14ac:dyDescent="0.15">
      <c r="H902" s="1"/>
      <c r="I902" s="1"/>
      <c r="J902" s="9"/>
      <c r="K902" s="1"/>
      <c r="L902" s="1"/>
      <c r="M902" s="9"/>
      <c r="N902" s="1"/>
      <c r="O902" s="1"/>
      <c r="P902" s="9"/>
    </row>
    <row r="903" spans="8:16" ht="13" x14ac:dyDescent="0.15">
      <c r="H903" s="1"/>
      <c r="I903" s="1"/>
      <c r="J903" s="9"/>
      <c r="K903" s="1"/>
      <c r="L903" s="1"/>
      <c r="M903" s="9"/>
      <c r="N903" s="1"/>
      <c r="O903" s="1"/>
      <c r="P903" s="9"/>
    </row>
    <row r="904" spans="8:16" ht="13" x14ac:dyDescent="0.15">
      <c r="H904" s="1"/>
      <c r="I904" s="1"/>
      <c r="J904" s="9"/>
      <c r="K904" s="1"/>
      <c r="L904" s="1"/>
      <c r="M904" s="9"/>
      <c r="N904" s="1"/>
      <c r="O904" s="1"/>
      <c r="P904" s="9"/>
    </row>
    <row r="905" spans="8:16" ht="13" x14ac:dyDescent="0.15">
      <c r="H905" s="1"/>
      <c r="I905" s="1"/>
      <c r="J905" s="9"/>
      <c r="K905" s="1"/>
      <c r="L905" s="1"/>
      <c r="M905" s="9"/>
      <c r="N905" s="1"/>
      <c r="O905" s="1"/>
      <c r="P905" s="9"/>
    </row>
    <row r="906" spans="8:16" ht="13" x14ac:dyDescent="0.15">
      <c r="H906" s="1"/>
      <c r="I906" s="1"/>
      <c r="J906" s="9"/>
      <c r="K906" s="1"/>
      <c r="L906" s="1"/>
      <c r="M906" s="9"/>
      <c r="N906" s="1"/>
      <c r="O906" s="1"/>
      <c r="P906" s="9"/>
    </row>
    <row r="907" spans="8:16" ht="13" x14ac:dyDescent="0.15">
      <c r="H907" s="1"/>
      <c r="I907" s="1"/>
      <c r="J907" s="9"/>
      <c r="K907" s="1"/>
      <c r="L907" s="1"/>
      <c r="M907" s="9"/>
      <c r="N907" s="1"/>
      <c r="O907" s="1"/>
      <c r="P907" s="9"/>
    </row>
    <row r="908" spans="8:16" ht="13" x14ac:dyDescent="0.15">
      <c r="H908" s="1"/>
      <c r="I908" s="1"/>
      <c r="J908" s="9"/>
      <c r="K908" s="1"/>
      <c r="L908" s="1"/>
      <c r="M908" s="9"/>
      <c r="N908" s="1"/>
      <c r="O908" s="1"/>
      <c r="P908" s="9"/>
    </row>
    <row r="909" spans="8:16" ht="13" x14ac:dyDescent="0.15">
      <c r="H909" s="1"/>
      <c r="I909" s="1"/>
      <c r="J909" s="9"/>
      <c r="K909" s="1"/>
      <c r="L909" s="1"/>
      <c r="M909" s="9"/>
      <c r="N909" s="1"/>
      <c r="O909" s="1"/>
      <c r="P909" s="9"/>
    </row>
    <row r="910" spans="8:16" ht="13" x14ac:dyDescent="0.15">
      <c r="H910" s="1"/>
      <c r="I910" s="1"/>
      <c r="J910" s="9"/>
      <c r="K910" s="1"/>
      <c r="L910" s="1"/>
      <c r="M910" s="9"/>
      <c r="N910" s="1"/>
      <c r="O910" s="1"/>
      <c r="P910" s="9"/>
    </row>
    <row r="911" spans="8:16" ht="13" x14ac:dyDescent="0.15">
      <c r="H911" s="1"/>
      <c r="I911" s="1"/>
      <c r="J911" s="9"/>
      <c r="K911" s="1"/>
      <c r="L911" s="1"/>
      <c r="M911" s="9"/>
      <c r="N911" s="1"/>
      <c r="O911" s="1"/>
      <c r="P911" s="9"/>
    </row>
    <row r="912" spans="8:16" ht="13" x14ac:dyDescent="0.15">
      <c r="H912" s="1"/>
      <c r="I912" s="1"/>
      <c r="J912" s="9"/>
      <c r="K912" s="1"/>
      <c r="L912" s="1"/>
      <c r="M912" s="9"/>
      <c r="N912" s="1"/>
      <c r="O912" s="1"/>
      <c r="P912" s="9"/>
    </row>
    <row r="913" spans="8:16" ht="13" x14ac:dyDescent="0.15">
      <c r="H913" s="1"/>
      <c r="I913" s="1"/>
      <c r="J913" s="9"/>
      <c r="K913" s="1"/>
      <c r="L913" s="1"/>
      <c r="M913" s="9"/>
      <c r="N913" s="1"/>
      <c r="O913" s="1"/>
      <c r="P913" s="9"/>
    </row>
    <row r="914" spans="8:16" ht="13" x14ac:dyDescent="0.15">
      <c r="H914" s="1"/>
      <c r="I914" s="1"/>
      <c r="J914" s="9"/>
      <c r="K914" s="1"/>
      <c r="L914" s="1"/>
      <c r="M914" s="9"/>
      <c r="N914" s="1"/>
      <c r="O914" s="1"/>
      <c r="P914" s="9"/>
    </row>
    <row r="915" spans="8:16" ht="13" x14ac:dyDescent="0.15">
      <c r="H915" s="1"/>
      <c r="I915" s="1"/>
      <c r="J915" s="9"/>
      <c r="K915" s="1"/>
      <c r="L915" s="1"/>
      <c r="M915" s="9"/>
      <c r="N915" s="1"/>
      <c r="O915" s="1"/>
      <c r="P915" s="9"/>
    </row>
    <row r="916" spans="8:16" ht="13" x14ac:dyDescent="0.15">
      <c r="H916" s="1"/>
      <c r="I916" s="1"/>
      <c r="J916" s="9"/>
      <c r="K916" s="1"/>
      <c r="L916" s="1"/>
      <c r="M916" s="9"/>
      <c r="N916" s="1"/>
      <c r="O916" s="1"/>
      <c r="P916" s="9"/>
    </row>
    <row r="917" spans="8:16" ht="13" x14ac:dyDescent="0.15">
      <c r="H917" s="1"/>
      <c r="I917" s="1"/>
      <c r="J917" s="9"/>
      <c r="K917" s="1"/>
      <c r="L917" s="1"/>
      <c r="M917" s="9"/>
      <c r="N917" s="1"/>
      <c r="O917" s="1"/>
      <c r="P917" s="9"/>
    </row>
    <row r="918" spans="8:16" ht="13" x14ac:dyDescent="0.15">
      <c r="H918" s="1"/>
      <c r="I918" s="1"/>
      <c r="J918" s="9"/>
      <c r="K918" s="1"/>
      <c r="L918" s="1"/>
      <c r="M918" s="9"/>
      <c r="N918" s="1"/>
      <c r="O918" s="1"/>
      <c r="P918" s="9"/>
    </row>
    <row r="919" spans="8:16" ht="13" x14ac:dyDescent="0.15">
      <c r="H919" s="1"/>
      <c r="I919" s="1"/>
      <c r="J919" s="9"/>
      <c r="K919" s="1"/>
      <c r="L919" s="1"/>
      <c r="M919" s="9"/>
      <c r="N919" s="1"/>
      <c r="O919" s="1"/>
      <c r="P919" s="9"/>
    </row>
    <row r="920" spans="8:16" ht="13" x14ac:dyDescent="0.15">
      <c r="H920" s="1"/>
      <c r="I920" s="1"/>
      <c r="J920" s="9"/>
      <c r="K920" s="1"/>
      <c r="L920" s="1"/>
      <c r="M920" s="9"/>
      <c r="N920" s="1"/>
      <c r="O920" s="1"/>
      <c r="P920" s="9"/>
    </row>
    <row r="921" spans="8:16" ht="13" x14ac:dyDescent="0.15">
      <c r="H921" s="1"/>
      <c r="I921" s="1"/>
      <c r="J921" s="9"/>
      <c r="K921" s="1"/>
      <c r="L921" s="1"/>
      <c r="M921" s="9"/>
      <c r="N921" s="1"/>
      <c r="O921" s="1"/>
      <c r="P921" s="9"/>
    </row>
    <row r="922" spans="8:16" ht="13" x14ac:dyDescent="0.15">
      <c r="H922" s="1"/>
      <c r="I922" s="1"/>
      <c r="J922" s="9"/>
      <c r="K922" s="1"/>
      <c r="L922" s="1"/>
      <c r="M922" s="9"/>
      <c r="N922" s="1"/>
      <c r="O922" s="1"/>
      <c r="P922" s="9"/>
    </row>
    <row r="923" spans="8:16" ht="13" x14ac:dyDescent="0.15">
      <c r="H923" s="1"/>
      <c r="I923" s="1"/>
      <c r="J923" s="9"/>
      <c r="K923" s="1"/>
      <c r="L923" s="1"/>
      <c r="M923" s="9"/>
      <c r="N923" s="1"/>
      <c r="O923" s="1"/>
      <c r="P923" s="9"/>
    </row>
    <row r="924" spans="8:16" ht="13" x14ac:dyDescent="0.15">
      <c r="H924" s="1"/>
      <c r="I924" s="1"/>
      <c r="J924" s="9"/>
      <c r="K924" s="1"/>
      <c r="L924" s="1"/>
      <c r="M924" s="9"/>
      <c r="N924" s="1"/>
      <c r="O924" s="1"/>
      <c r="P924" s="9"/>
    </row>
    <row r="925" spans="8:16" ht="13" x14ac:dyDescent="0.15">
      <c r="H925" s="1"/>
      <c r="I925" s="1"/>
      <c r="J925" s="9"/>
      <c r="K925" s="1"/>
      <c r="L925" s="1"/>
      <c r="M925" s="9"/>
      <c r="N925" s="1"/>
      <c r="O925" s="1"/>
      <c r="P925" s="9"/>
    </row>
    <row r="926" spans="8:16" ht="13" x14ac:dyDescent="0.15">
      <c r="H926" s="1"/>
      <c r="I926" s="1"/>
      <c r="J926" s="9"/>
      <c r="K926" s="1"/>
      <c r="L926" s="1"/>
      <c r="M926" s="9"/>
      <c r="N926" s="1"/>
      <c r="O926" s="1"/>
      <c r="P926" s="9"/>
    </row>
    <row r="927" spans="8:16" ht="13" x14ac:dyDescent="0.15">
      <c r="H927" s="1"/>
      <c r="I927" s="1"/>
      <c r="J927" s="9"/>
      <c r="K927" s="1"/>
      <c r="L927" s="1"/>
      <c r="M927" s="9"/>
      <c r="N927" s="1"/>
      <c r="O927" s="1"/>
      <c r="P927" s="9"/>
    </row>
    <row r="928" spans="8:16" ht="13" x14ac:dyDescent="0.15">
      <c r="H928" s="1"/>
      <c r="I928" s="1"/>
      <c r="J928" s="9"/>
      <c r="K928" s="1"/>
      <c r="L928" s="1"/>
      <c r="M928" s="9"/>
      <c r="N928" s="1"/>
      <c r="O928" s="1"/>
      <c r="P928" s="9"/>
    </row>
    <row r="929" spans="8:16" ht="13" x14ac:dyDescent="0.15">
      <c r="H929" s="1"/>
      <c r="I929" s="1"/>
      <c r="J929" s="9"/>
      <c r="K929" s="1"/>
      <c r="L929" s="1"/>
      <c r="M929" s="9"/>
      <c r="N929" s="1"/>
      <c r="O929" s="1"/>
      <c r="P929" s="9"/>
    </row>
    <row r="930" spans="8:16" ht="13" x14ac:dyDescent="0.15">
      <c r="H930" s="1"/>
      <c r="I930" s="1"/>
      <c r="J930" s="9"/>
      <c r="K930" s="1"/>
      <c r="L930" s="1"/>
      <c r="M930" s="9"/>
      <c r="N930" s="1"/>
      <c r="O930" s="1"/>
      <c r="P930" s="9"/>
    </row>
    <row r="931" spans="8:16" ht="13" x14ac:dyDescent="0.15">
      <c r="H931" s="1"/>
      <c r="I931" s="1"/>
      <c r="J931" s="9"/>
      <c r="K931" s="1"/>
      <c r="L931" s="1"/>
      <c r="M931" s="9"/>
      <c r="N931" s="1"/>
      <c r="O931" s="1"/>
      <c r="P931" s="9"/>
    </row>
    <row r="932" spans="8:16" ht="13" x14ac:dyDescent="0.15">
      <c r="H932" s="1"/>
      <c r="I932" s="1"/>
      <c r="J932" s="9"/>
      <c r="K932" s="1"/>
      <c r="L932" s="1"/>
      <c r="M932" s="9"/>
      <c r="N932" s="1"/>
      <c r="O932" s="1"/>
      <c r="P932" s="9"/>
    </row>
    <row r="933" spans="8:16" ht="13" x14ac:dyDescent="0.15">
      <c r="H933" s="1"/>
      <c r="I933" s="1"/>
      <c r="J933" s="9"/>
      <c r="K933" s="1"/>
      <c r="L933" s="1"/>
      <c r="M933" s="9"/>
      <c r="N933" s="1"/>
      <c r="O933" s="1"/>
      <c r="P933" s="9"/>
    </row>
    <row r="934" spans="8:16" ht="13" x14ac:dyDescent="0.15">
      <c r="H934" s="1"/>
      <c r="I934" s="1"/>
      <c r="J934" s="9"/>
      <c r="K934" s="1"/>
      <c r="L934" s="1"/>
      <c r="M934" s="9"/>
      <c r="N934" s="1"/>
      <c r="O934" s="1"/>
      <c r="P934" s="9"/>
    </row>
    <row r="935" spans="8:16" ht="13" x14ac:dyDescent="0.15">
      <c r="H935" s="1"/>
      <c r="I935" s="1"/>
      <c r="J935" s="9"/>
      <c r="K935" s="1"/>
      <c r="L935" s="1"/>
      <c r="M935" s="9"/>
      <c r="N935" s="1"/>
      <c r="O935" s="1"/>
      <c r="P935" s="9"/>
    </row>
    <row r="936" spans="8:16" ht="13" x14ac:dyDescent="0.15">
      <c r="H936" s="1"/>
      <c r="I936" s="1"/>
      <c r="J936" s="9"/>
      <c r="K936" s="1"/>
      <c r="L936" s="1"/>
      <c r="M936" s="9"/>
      <c r="N936" s="1"/>
      <c r="O936" s="1"/>
      <c r="P936" s="9"/>
    </row>
    <row r="937" spans="8:16" ht="13" x14ac:dyDescent="0.15">
      <c r="H937" s="1"/>
      <c r="I937" s="1"/>
      <c r="J937" s="9"/>
      <c r="K937" s="1"/>
      <c r="L937" s="1"/>
      <c r="M937" s="9"/>
      <c r="N937" s="1"/>
      <c r="O937" s="1"/>
      <c r="P937" s="9"/>
    </row>
    <row r="938" spans="8:16" ht="13" x14ac:dyDescent="0.15">
      <c r="H938" s="1"/>
      <c r="I938" s="1"/>
      <c r="J938" s="9"/>
      <c r="K938" s="1"/>
      <c r="L938" s="1"/>
      <c r="M938" s="9"/>
      <c r="N938" s="1"/>
      <c r="O938" s="1"/>
      <c r="P938" s="9"/>
    </row>
    <row r="939" spans="8:16" ht="13" x14ac:dyDescent="0.15">
      <c r="H939" s="1"/>
      <c r="I939" s="1"/>
      <c r="J939" s="9"/>
      <c r="K939" s="1"/>
      <c r="L939" s="1"/>
      <c r="M939" s="9"/>
      <c r="N939" s="1"/>
      <c r="O939" s="1"/>
      <c r="P939" s="9"/>
    </row>
    <row r="940" spans="8:16" ht="13" x14ac:dyDescent="0.15">
      <c r="H940" s="1"/>
      <c r="I940" s="1"/>
      <c r="J940" s="9"/>
      <c r="K940" s="1"/>
      <c r="L940" s="1"/>
      <c r="M940" s="9"/>
      <c r="N940" s="1"/>
      <c r="O940" s="1"/>
      <c r="P940" s="9"/>
    </row>
    <row r="941" spans="8:16" ht="13" x14ac:dyDescent="0.15">
      <c r="H941" s="1"/>
      <c r="I941" s="1"/>
      <c r="J941" s="9"/>
      <c r="K941" s="1"/>
      <c r="L941" s="1"/>
      <c r="M941" s="9"/>
      <c r="N941" s="1"/>
      <c r="O941" s="1"/>
      <c r="P941" s="9"/>
    </row>
    <row r="942" spans="8:16" ht="13" x14ac:dyDescent="0.15">
      <c r="H942" s="1"/>
      <c r="I942" s="1"/>
      <c r="J942" s="9"/>
      <c r="K942" s="1"/>
      <c r="L942" s="1"/>
      <c r="M942" s="9"/>
      <c r="N942" s="1"/>
      <c r="O942" s="1"/>
      <c r="P942" s="9"/>
    </row>
    <row r="943" spans="8:16" ht="13" x14ac:dyDescent="0.15">
      <c r="H943" s="1"/>
      <c r="I943" s="1"/>
      <c r="J943" s="9"/>
      <c r="K943" s="1"/>
      <c r="L943" s="1"/>
      <c r="M943" s="9"/>
      <c r="N943" s="1"/>
      <c r="O943" s="1"/>
      <c r="P943" s="9"/>
    </row>
    <row r="944" spans="8:16" ht="13" x14ac:dyDescent="0.15">
      <c r="H944" s="1"/>
      <c r="I944" s="1"/>
      <c r="J944" s="9"/>
      <c r="K944" s="1"/>
      <c r="L944" s="1"/>
      <c r="M944" s="9"/>
      <c r="N944" s="1"/>
      <c r="O944" s="1"/>
      <c r="P944" s="9"/>
    </row>
    <row r="945" spans="8:16" ht="13" x14ac:dyDescent="0.15">
      <c r="H945" s="1"/>
      <c r="I945" s="1"/>
      <c r="J945" s="9"/>
      <c r="K945" s="1"/>
      <c r="L945" s="1"/>
      <c r="M945" s="9"/>
      <c r="N945" s="1"/>
      <c r="O945" s="1"/>
      <c r="P945" s="9"/>
    </row>
    <row r="946" spans="8:16" ht="13" x14ac:dyDescent="0.15">
      <c r="H946" s="1"/>
      <c r="I946" s="1"/>
      <c r="J946" s="9"/>
      <c r="K946" s="1"/>
      <c r="L946" s="1"/>
      <c r="M946" s="9"/>
      <c r="N946" s="1"/>
      <c r="O946" s="1"/>
      <c r="P946" s="9"/>
    </row>
    <row r="947" spans="8:16" ht="13" x14ac:dyDescent="0.15">
      <c r="H947" s="1"/>
      <c r="I947" s="1"/>
      <c r="J947" s="9"/>
      <c r="K947" s="1"/>
      <c r="L947" s="1"/>
      <c r="M947" s="9"/>
      <c r="N947" s="1"/>
      <c r="O947" s="1"/>
      <c r="P947" s="9"/>
    </row>
    <row r="948" spans="8:16" ht="13" x14ac:dyDescent="0.15">
      <c r="H948" s="1"/>
      <c r="I948" s="1"/>
      <c r="J948" s="9"/>
      <c r="K948" s="1"/>
      <c r="L948" s="1"/>
      <c r="M948" s="9"/>
      <c r="N948" s="1"/>
      <c r="O948" s="1"/>
      <c r="P948" s="9"/>
    </row>
    <row r="949" spans="8:16" ht="13" x14ac:dyDescent="0.15">
      <c r="H949" s="1"/>
      <c r="I949" s="1"/>
      <c r="J949" s="9"/>
      <c r="K949" s="1"/>
      <c r="L949" s="1"/>
      <c r="M949" s="9"/>
      <c r="N949" s="1"/>
      <c r="O949" s="1"/>
      <c r="P949" s="9"/>
    </row>
    <row r="950" spans="8:16" ht="13" x14ac:dyDescent="0.15">
      <c r="H950" s="1"/>
      <c r="I950" s="1"/>
      <c r="J950" s="9"/>
      <c r="K950" s="1"/>
      <c r="L950" s="1"/>
      <c r="M950" s="9"/>
      <c r="N950" s="1"/>
      <c r="O950" s="1"/>
      <c r="P950" s="9"/>
    </row>
    <row r="951" spans="8:16" ht="13" x14ac:dyDescent="0.15">
      <c r="H951" s="1"/>
      <c r="I951" s="1"/>
      <c r="J951" s="9"/>
      <c r="K951" s="1"/>
      <c r="L951" s="1"/>
      <c r="M951" s="9"/>
      <c r="N951" s="1"/>
      <c r="O951" s="1"/>
      <c r="P951" s="9"/>
    </row>
    <row r="952" spans="8:16" ht="13" x14ac:dyDescent="0.15">
      <c r="H952" s="1"/>
      <c r="I952" s="1"/>
      <c r="J952" s="9"/>
      <c r="K952" s="1"/>
      <c r="L952" s="1"/>
      <c r="M952" s="9"/>
      <c r="N952" s="1"/>
      <c r="O952" s="1"/>
      <c r="P952" s="9"/>
    </row>
    <row r="953" spans="8:16" ht="13" x14ac:dyDescent="0.15">
      <c r="H953" s="1"/>
      <c r="I953" s="1"/>
      <c r="J953" s="9"/>
      <c r="K953" s="1"/>
      <c r="L953" s="1"/>
      <c r="M953" s="9"/>
      <c r="N953" s="1"/>
      <c r="O953" s="1"/>
      <c r="P953" s="9"/>
    </row>
    <row r="954" spans="8:16" ht="13" x14ac:dyDescent="0.15">
      <c r="H954" s="1"/>
      <c r="I954" s="1"/>
      <c r="J954" s="9"/>
      <c r="K954" s="1"/>
      <c r="L954" s="1"/>
      <c r="M954" s="9"/>
      <c r="N954" s="1"/>
      <c r="O954" s="1"/>
      <c r="P954" s="9"/>
    </row>
    <row r="955" spans="8:16" ht="13" x14ac:dyDescent="0.15">
      <c r="H955" s="1"/>
      <c r="I955" s="1"/>
      <c r="J955" s="9"/>
      <c r="K955" s="1"/>
      <c r="L955" s="1"/>
      <c r="M955" s="9"/>
      <c r="N955" s="1"/>
      <c r="O955" s="1"/>
      <c r="P955" s="9"/>
    </row>
    <row r="956" spans="8:16" ht="13" x14ac:dyDescent="0.15">
      <c r="H956" s="1"/>
      <c r="I956" s="1"/>
      <c r="J956" s="9"/>
      <c r="K956" s="1"/>
      <c r="L956" s="1"/>
      <c r="M956" s="9"/>
      <c r="N956" s="1"/>
      <c r="O956" s="1"/>
      <c r="P956" s="9"/>
    </row>
    <row r="957" spans="8:16" ht="13" x14ac:dyDescent="0.15">
      <c r="H957" s="1"/>
      <c r="I957" s="1"/>
      <c r="J957" s="9"/>
      <c r="K957" s="1"/>
      <c r="L957" s="1"/>
      <c r="M957" s="9"/>
      <c r="N957" s="1"/>
      <c r="O957" s="1"/>
      <c r="P957" s="9"/>
    </row>
    <row r="958" spans="8:16" ht="13" x14ac:dyDescent="0.15">
      <c r="H958" s="1"/>
      <c r="I958" s="1"/>
      <c r="J958" s="9"/>
      <c r="K958" s="1"/>
      <c r="L958" s="1"/>
      <c r="M958" s="9"/>
      <c r="N958" s="1"/>
      <c r="O958" s="1"/>
      <c r="P958" s="9"/>
    </row>
    <row r="959" spans="8:16" ht="13" x14ac:dyDescent="0.15">
      <c r="H959" s="1"/>
      <c r="I959" s="1"/>
      <c r="J959" s="9"/>
      <c r="K959" s="1"/>
      <c r="L959" s="1"/>
      <c r="M959" s="9"/>
      <c r="N959" s="1"/>
      <c r="O959" s="1"/>
      <c r="P959" s="9"/>
    </row>
    <row r="960" spans="8:16" ht="13" x14ac:dyDescent="0.15">
      <c r="H960" s="1"/>
      <c r="I960" s="1"/>
      <c r="J960" s="9"/>
      <c r="K960" s="1"/>
      <c r="L960" s="1"/>
      <c r="M960" s="9"/>
      <c r="N960" s="1"/>
      <c r="O960" s="1"/>
      <c r="P960" s="9"/>
    </row>
    <row r="961" spans="8:16" ht="13" x14ac:dyDescent="0.15">
      <c r="H961" s="1"/>
      <c r="I961" s="1"/>
      <c r="J961" s="9"/>
      <c r="K961" s="1"/>
      <c r="L961" s="1"/>
      <c r="M961" s="9"/>
      <c r="N961" s="1"/>
      <c r="O961" s="1"/>
      <c r="P961" s="9"/>
    </row>
    <row r="962" spans="8:16" ht="13" x14ac:dyDescent="0.15">
      <c r="H962" s="1"/>
      <c r="I962" s="1"/>
      <c r="J962" s="9"/>
      <c r="K962" s="1"/>
      <c r="L962" s="1"/>
      <c r="M962" s="9"/>
      <c r="N962" s="1"/>
      <c r="O962" s="1"/>
      <c r="P962" s="9"/>
    </row>
    <row r="963" spans="8:16" ht="13" x14ac:dyDescent="0.15">
      <c r="H963" s="1"/>
      <c r="I963" s="1"/>
      <c r="J963" s="9"/>
      <c r="K963" s="1"/>
      <c r="L963" s="1"/>
      <c r="M963" s="9"/>
      <c r="N963" s="1"/>
      <c r="O963" s="1"/>
      <c r="P963" s="9"/>
    </row>
    <row r="964" spans="8:16" ht="13" x14ac:dyDescent="0.15">
      <c r="H964" s="1"/>
      <c r="I964" s="1"/>
      <c r="J964" s="9"/>
      <c r="K964" s="1"/>
      <c r="L964" s="1"/>
      <c r="M964" s="9"/>
      <c r="N964" s="1"/>
      <c r="O964" s="1"/>
      <c r="P964" s="9"/>
    </row>
    <row r="965" spans="8:16" ht="13" x14ac:dyDescent="0.15">
      <c r="H965" s="1"/>
      <c r="I965" s="1"/>
      <c r="J965" s="9"/>
      <c r="K965" s="1"/>
      <c r="L965" s="1"/>
      <c r="M965" s="9"/>
      <c r="N965" s="1"/>
      <c r="O965" s="1"/>
      <c r="P965" s="9"/>
    </row>
    <row r="966" spans="8:16" ht="13" x14ac:dyDescent="0.15">
      <c r="H966" s="1"/>
      <c r="I966" s="1"/>
      <c r="J966" s="9"/>
      <c r="K966" s="1"/>
      <c r="L966" s="1"/>
      <c r="M966" s="9"/>
      <c r="N966" s="1"/>
      <c r="O966" s="1"/>
      <c r="P966" s="9"/>
    </row>
    <row r="967" spans="8:16" ht="13" x14ac:dyDescent="0.15">
      <c r="H967" s="1"/>
      <c r="I967" s="1"/>
      <c r="J967" s="9"/>
      <c r="K967" s="1"/>
      <c r="L967" s="1"/>
      <c r="M967" s="9"/>
      <c r="N967" s="1"/>
      <c r="O967" s="1"/>
      <c r="P967" s="9"/>
    </row>
    <row r="968" spans="8:16" ht="13" x14ac:dyDescent="0.15">
      <c r="H968" s="1"/>
      <c r="I968" s="1"/>
      <c r="J968" s="9"/>
      <c r="K968" s="1"/>
      <c r="L968" s="1"/>
      <c r="M968" s="9"/>
      <c r="N968" s="1"/>
      <c r="O968" s="1"/>
      <c r="P968" s="9"/>
    </row>
    <row r="969" spans="8:16" ht="13" x14ac:dyDescent="0.15">
      <c r="H969" s="1"/>
      <c r="I969" s="1"/>
      <c r="J969" s="9"/>
      <c r="K969" s="1"/>
      <c r="L969" s="1"/>
      <c r="M969" s="9"/>
      <c r="N969" s="1"/>
      <c r="O969" s="1"/>
      <c r="P969" s="9"/>
    </row>
    <row r="970" spans="8:16" ht="13" x14ac:dyDescent="0.15">
      <c r="H970" s="1"/>
      <c r="I970" s="1"/>
      <c r="J970" s="9"/>
      <c r="K970" s="1"/>
      <c r="L970" s="1"/>
      <c r="M970" s="9"/>
      <c r="N970" s="1"/>
      <c r="O970" s="1"/>
      <c r="P970" s="9"/>
    </row>
    <row r="971" spans="8:16" ht="13" x14ac:dyDescent="0.15">
      <c r="H971" s="1"/>
      <c r="I971" s="1"/>
      <c r="J971" s="9"/>
      <c r="K971" s="1"/>
      <c r="L971" s="1"/>
      <c r="M971" s="9"/>
      <c r="N971" s="1"/>
      <c r="O971" s="1"/>
      <c r="P971" s="9"/>
    </row>
    <row r="972" spans="8:16" ht="13" x14ac:dyDescent="0.15">
      <c r="H972" s="1"/>
      <c r="I972" s="1"/>
      <c r="J972" s="9"/>
      <c r="K972" s="1"/>
      <c r="L972" s="1"/>
      <c r="M972" s="9"/>
      <c r="N972" s="1"/>
      <c r="O972" s="1"/>
      <c r="P972" s="9"/>
    </row>
    <row r="973" spans="8:16" ht="13" x14ac:dyDescent="0.15">
      <c r="H973" s="1"/>
      <c r="I973" s="1"/>
      <c r="J973" s="9"/>
      <c r="K973" s="1"/>
      <c r="L973" s="1"/>
      <c r="M973" s="9"/>
      <c r="N973" s="1"/>
      <c r="O973" s="1"/>
      <c r="P973" s="9"/>
    </row>
    <row r="974" spans="8:16" ht="13" x14ac:dyDescent="0.15">
      <c r="H974" s="1"/>
      <c r="I974" s="1"/>
      <c r="J974" s="9"/>
      <c r="K974" s="1"/>
      <c r="L974" s="1"/>
      <c r="M974" s="9"/>
      <c r="N974" s="1"/>
      <c r="O974" s="1"/>
      <c r="P974" s="9"/>
    </row>
    <row r="975" spans="8:16" ht="13" x14ac:dyDescent="0.15">
      <c r="H975" s="1"/>
      <c r="I975" s="1"/>
      <c r="J975" s="9"/>
      <c r="K975" s="1"/>
      <c r="L975" s="1"/>
      <c r="M975" s="9"/>
      <c r="N975" s="1"/>
      <c r="O975" s="1"/>
      <c r="P975" s="9"/>
    </row>
    <row r="976" spans="8:16" ht="13" x14ac:dyDescent="0.15">
      <c r="H976" s="1"/>
      <c r="I976" s="1"/>
      <c r="J976" s="9"/>
      <c r="K976" s="1"/>
      <c r="L976" s="1"/>
      <c r="M976" s="9"/>
      <c r="N976" s="1"/>
      <c r="O976" s="1"/>
      <c r="P976" s="9"/>
    </row>
    <row r="977" spans="8:16" ht="13" x14ac:dyDescent="0.15">
      <c r="H977" s="1"/>
      <c r="I977" s="1"/>
      <c r="J977" s="9"/>
      <c r="K977" s="1"/>
      <c r="L977" s="1"/>
      <c r="M977" s="9"/>
      <c r="N977" s="1"/>
      <c r="O977" s="1"/>
      <c r="P977" s="9"/>
    </row>
    <row r="978" spans="8:16" ht="13" x14ac:dyDescent="0.15">
      <c r="H978" s="1"/>
      <c r="I978" s="1"/>
      <c r="J978" s="9"/>
      <c r="K978" s="1"/>
      <c r="L978" s="1"/>
      <c r="M978" s="9"/>
      <c r="N978" s="1"/>
      <c r="O978" s="1"/>
      <c r="P978" s="9"/>
    </row>
    <row r="979" spans="8:16" ht="13" x14ac:dyDescent="0.15">
      <c r="H979" s="1"/>
      <c r="I979" s="1"/>
      <c r="J979" s="9"/>
      <c r="K979" s="1"/>
      <c r="L979" s="1"/>
      <c r="M979" s="9"/>
      <c r="N979" s="1"/>
      <c r="O979" s="1"/>
      <c r="P979" s="9"/>
    </row>
    <row r="980" spans="8:16" ht="13" x14ac:dyDescent="0.15">
      <c r="H980" s="1"/>
      <c r="I980" s="1"/>
      <c r="J980" s="9"/>
      <c r="K980" s="1"/>
      <c r="L980" s="1"/>
      <c r="M980" s="9"/>
      <c r="N980" s="1"/>
      <c r="O980" s="1"/>
      <c r="P980" s="9"/>
    </row>
    <row r="981" spans="8:16" ht="13" x14ac:dyDescent="0.15">
      <c r="H981" s="1"/>
      <c r="I981" s="1"/>
      <c r="J981" s="9"/>
      <c r="K981" s="1"/>
      <c r="L981" s="1"/>
      <c r="M981" s="9"/>
      <c r="N981" s="1"/>
      <c r="O981" s="1"/>
      <c r="P981" s="9"/>
    </row>
    <row r="982" spans="8:16" ht="13" x14ac:dyDescent="0.15">
      <c r="H982" s="1"/>
      <c r="I982" s="1"/>
      <c r="J982" s="9"/>
      <c r="K982" s="1"/>
      <c r="L982" s="1"/>
      <c r="M982" s="9"/>
      <c r="N982" s="1"/>
      <c r="O982" s="1"/>
      <c r="P982" s="9"/>
    </row>
    <row r="983" spans="8:16" ht="13" x14ac:dyDescent="0.15">
      <c r="H983" s="1"/>
      <c r="I983" s="1"/>
      <c r="J983" s="9"/>
      <c r="K983" s="1"/>
      <c r="L983" s="1"/>
      <c r="M983" s="9"/>
      <c r="N983" s="1"/>
      <c r="O983" s="1"/>
      <c r="P983" s="9"/>
    </row>
    <row r="984" spans="8:16" ht="13" x14ac:dyDescent="0.15">
      <c r="H984" s="1"/>
      <c r="I984" s="1"/>
      <c r="J984" s="9"/>
      <c r="K984" s="1"/>
      <c r="L984" s="1"/>
      <c r="M984" s="9"/>
      <c r="N984" s="1"/>
      <c r="O984" s="1"/>
      <c r="P984" s="9"/>
    </row>
    <row r="985" spans="8:16" ht="13" x14ac:dyDescent="0.15">
      <c r="H985" s="1"/>
      <c r="I985" s="1"/>
      <c r="J985" s="9"/>
      <c r="K985" s="1"/>
      <c r="L985" s="1"/>
      <c r="M985" s="9"/>
      <c r="N985" s="1"/>
      <c r="O985" s="1"/>
      <c r="P985" s="9"/>
    </row>
    <row r="986" spans="8:16" ht="13" x14ac:dyDescent="0.15">
      <c r="H986" s="1"/>
      <c r="I986" s="1"/>
      <c r="J986" s="9"/>
      <c r="K986" s="1"/>
      <c r="L986" s="1"/>
      <c r="M986" s="9"/>
      <c r="N986" s="1"/>
      <c r="O986" s="1"/>
      <c r="P986" s="9"/>
    </row>
    <row r="987" spans="8:16" ht="13" x14ac:dyDescent="0.15">
      <c r="H987" s="1"/>
      <c r="I987" s="1"/>
      <c r="J987" s="9"/>
      <c r="K987" s="1"/>
      <c r="L987" s="1"/>
      <c r="M987" s="9"/>
      <c r="N987" s="1"/>
      <c r="O987" s="1"/>
      <c r="P987" s="9"/>
    </row>
    <row r="988" spans="8:16" ht="13" x14ac:dyDescent="0.15">
      <c r="H988" s="1"/>
      <c r="I988" s="1"/>
      <c r="J988" s="9"/>
      <c r="K988" s="1"/>
      <c r="L988" s="1"/>
      <c r="M988" s="9"/>
      <c r="N988" s="1"/>
      <c r="O988" s="1"/>
      <c r="P988" s="9"/>
    </row>
    <row r="989" spans="8:16" ht="13" x14ac:dyDescent="0.15">
      <c r="H989" s="1"/>
      <c r="I989" s="1"/>
      <c r="J989" s="9"/>
      <c r="K989" s="1"/>
      <c r="L989" s="1"/>
      <c r="M989" s="9"/>
      <c r="N989" s="1"/>
      <c r="O989" s="1"/>
      <c r="P989" s="9"/>
    </row>
    <row r="990" spans="8:16" ht="13" x14ac:dyDescent="0.15">
      <c r="H990" s="1"/>
      <c r="I990" s="1"/>
      <c r="J990" s="9"/>
      <c r="K990" s="1"/>
      <c r="L990" s="1"/>
      <c r="M990" s="9"/>
      <c r="N990" s="1"/>
      <c r="O990" s="1"/>
      <c r="P990" s="9"/>
    </row>
    <row r="991" spans="8:16" ht="13" x14ac:dyDescent="0.15">
      <c r="H991" s="1"/>
      <c r="I991" s="1"/>
      <c r="J991" s="9"/>
      <c r="K991" s="1"/>
      <c r="L991" s="1"/>
      <c r="M991" s="9"/>
      <c r="N991" s="1"/>
      <c r="O991" s="1"/>
      <c r="P991" s="9"/>
    </row>
    <row r="992" spans="8:16" ht="13" x14ac:dyDescent="0.15">
      <c r="H992" s="1"/>
      <c r="I992" s="1"/>
      <c r="J992" s="9"/>
      <c r="K992" s="1"/>
      <c r="L992" s="1"/>
      <c r="M992" s="9"/>
      <c r="N992" s="1"/>
      <c r="O992" s="1"/>
      <c r="P992" s="9"/>
    </row>
    <row r="993" spans="8:16" ht="13" x14ac:dyDescent="0.15">
      <c r="H993" s="1"/>
      <c r="I993" s="1"/>
      <c r="J993" s="9"/>
      <c r="K993" s="1"/>
      <c r="L993" s="1"/>
      <c r="M993" s="9"/>
      <c r="N993" s="1"/>
      <c r="O993" s="1"/>
      <c r="P993" s="9"/>
    </row>
    <row r="994" spans="8:16" ht="13" x14ac:dyDescent="0.15">
      <c r="H994" s="1"/>
      <c r="I994" s="1"/>
      <c r="J994" s="9"/>
      <c r="K994" s="1"/>
      <c r="L994" s="1"/>
      <c r="M994" s="9"/>
      <c r="N994" s="1"/>
      <c r="O994" s="1"/>
      <c r="P994" s="9"/>
    </row>
    <row r="995" spans="8:16" ht="13" x14ac:dyDescent="0.15">
      <c r="H995" s="1"/>
      <c r="I995" s="1"/>
      <c r="J995" s="9"/>
      <c r="K995" s="1"/>
      <c r="L995" s="1"/>
      <c r="M995" s="9"/>
      <c r="N995" s="1"/>
      <c r="O995" s="1"/>
      <c r="P995" s="9"/>
    </row>
    <row r="996" spans="8:16" ht="13" x14ac:dyDescent="0.15">
      <c r="H996" s="1"/>
      <c r="I996" s="1"/>
      <c r="J996" s="9"/>
      <c r="K996" s="1"/>
      <c r="L996" s="1"/>
      <c r="M996" s="9"/>
      <c r="N996" s="1"/>
      <c r="O996" s="1"/>
      <c r="P996" s="9"/>
    </row>
  </sheetData>
  <mergeCells count="4">
    <mergeCell ref="H1:P1"/>
    <mergeCell ref="H2:J2"/>
    <mergeCell ref="K2:M2"/>
    <mergeCell ref="N2:P2"/>
  </mergeCells>
  <conditionalFormatting sqref="H5:P6 H8:P8 H10:P14 H16:P19">
    <cfRule type="notContainsBlanks" dxfId="0" priority="1">
      <formula>LEN(TRIM(H5))&gt;0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I94"/>
  <sheetViews>
    <sheetView workbookViewId="0">
      <pane xSplit="8" ySplit="2" topLeftCell="I3" activePane="bottomRight" state="frozen"/>
      <selection pane="topRight" activeCell="I1" sqref="I1"/>
      <selection pane="bottomLeft" activeCell="A3" sqref="A3"/>
      <selection pane="bottomRight" activeCell="I3" sqref="I3"/>
    </sheetView>
  </sheetViews>
  <sheetFormatPr baseColWidth="10" defaultColWidth="12.6640625" defaultRowHeight="15.75" customHeight="1" outlineLevelRow="1" x14ac:dyDescent="0.15"/>
  <cols>
    <col min="1" max="1" width="13.6640625" customWidth="1"/>
    <col min="2" max="2" width="8.5" customWidth="1"/>
    <col min="3" max="3" width="12" customWidth="1"/>
    <col min="4" max="4" width="4.83203125" customWidth="1"/>
    <col min="5" max="5" width="12.33203125" customWidth="1"/>
    <col min="6" max="6" width="8.33203125" customWidth="1"/>
    <col min="7" max="35" width="4.6640625" customWidth="1"/>
  </cols>
  <sheetData>
    <row r="1" spans="1:35" ht="15.75" customHeight="1" x14ac:dyDescent="0.15">
      <c r="A1" s="3" t="s">
        <v>106</v>
      </c>
      <c r="B1" s="3"/>
      <c r="C1" s="3"/>
      <c r="D1" s="3"/>
      <c r="E1" s="79" t="s">
        <v>107</v>
      </c>
      <c r="F1" s="80"/>
      <c r="G1" s="80"/>
      <c r="H1" s="80"/>
      <c r="I1" s="3">
        <v>2026</v>
      </c>
      <c r="J1" s="3">
        <f t="shared" ref="J1:T1" si="0">I1</f>
        <v>2026</v>
      </c>
      <c r="K1" s="3">
        <f t="shared" si="0"/>
        <v>2026</v>
      </c>
      <c r="L1" s="3">
        <f t="shared" si="0"/>
        <v>2026</v>
      </c>
      <c r="M1" s="3">
        <f t="shared" si="0"/>
        <v>2026</v>
      </c>
      <c r="N1" s="3">
        <f t="shared" si="0"/>
        <v>2026</v>
      </c>
      <c r="O1" s="3">
        <f t="shared" si="0"/>
        <v>2026</v>
      </c>
      <c r="P1" s="3">
        <f t="shared" si="0"/>
        <v>2026</v>
      </c>
      <c r="Q1" s="3">
        <f t="shared" si="0"/>
        <v>2026</v>
      </c>
      <c r="R1" s="3">
        <f t="shared" si="0"/>
        <v>2026</v>
      </c>
      <c r="S1" s="3">
        <f t="shared" si="0"/>
        <v>2026</v>
      </c>
      <c r="T1" s="3">
        <f t="shared" si="0"/>
        <v>2026</v>
      </c>
      <c r="U1" s="3">
        <f t="shared" ref="U1:AF1" si="1">I1+1</f>
        <v>2027</v>
      </c>
      <c r="V1" s="3">
        <f t="shared" si="1"/>
        <v>2027</v>
      </c>
      <c r="W1" s="3">
        <f t="shared" si="1"/>
        <v>2027</v>
      </c>
      <c r="X1" s="3">
        <f t="shared" si="1"/>
        <v>2027</v>
      </c>
      <c r="Y1" s="3">
        <f t="shared" si="1"/>
        <v>2027</v>
      </c>
      <c r="Z1" s="3">
        <f t="shared" si="1"/>
        <v>2027</v>
      </c>
      <c r="AA1" s="3">
        <f t="shared" si="1"/>
        <v>2027</v>
      </c>
      <c r="AB1" s="3">
        <f t="shared" si="1"/>
        <v>2027</v>
      </c>
      <c r="AC1" s="3">
        <f t="shared" si="1"/>
        <v>2027</v>
      </c>
      <c r="AD1" s="3">
        <f t="shared" si="1"/>
        <v>2027</v>
      </c>
      <c r="AE1" s="3">
        <f t="shared" si="1"/>
        <v>2027</v>
      </c>
      <c r="AF1" s="3">
        <f t="shared" si="1"/>
        <v>2027</v>
      </c>
    </row>
    <row r="2" spans="1:35" ht="15.75" customHeight="1" x14ac:dyDescent="0.15">
      <c r="A2" s="3" t="s">
        <v>9</v>
      </c>
      <c r="B2" s="3"/>
      <c r="C2" s="3"/>
      <c r="D2" s="3"/>
      <c r="E2" s="4" t="s">
        <v>108</v>
      </c>
      <c r="F2" s="5" t="s">
        <v>109</v>
      </c>
      <c r="G2" s="6" t="s">
        <v>110</v>
      </c>
      <c r="H2" s="6" t="s">
        <v>111</v>
      </c>
      <c r="I2" s="3">
        <v>1</v>
      </c>
      <c r="J2" s="3">
        <f t="shared" ref="J2:AI2" si="2">I2+1</f>
        <v>2</v>
      </c>
      <c r="K2" s="3">
        <f t="shared" si="2"/>
        <v>3</v>
      </c>
      <c r="L2" s="3">
        <f t="shared" si="2"/>
        <v>4</v>
      </c>
      <c r="M2" s="3">
        <f t="shared" si="2"/>
        <v>5</v>
      </c>
      <c r="N2" s="3">
        <f t="shared" si="2"/>
        <v>6</v>
      </c>
      <c r="O2" s="3">
        <f t="shared" si="2"/>
        <v>7</v>
      </c>
      <c r="P2" s="3">
        <f t="shared" si="2"/>
        <v>8</v>
      </c>
      <c r="Q2" s="3">
        <f t="shared" si="2"/>
        <v>9</v>
      </c>
      <c r="R2" s="3">
        <f t="shared" si="2"/>
        <v>10</v>
      </c>
      <c r="S2" s="3">
        <f t="shared" si="2"/>
        <v>11</v>
      </c>
      <c r="T2" s="3">
        <f t="shared" si="2"/>
        <v>12</v>
      </c>
      <c r="U2" s="3">
        <f t="shared" si="2"/>
        <v>13</v>
      </c>
      <c r="V2" s="3">
        <f t="shared" si="2"/>
        <v>14</v>
      </c>
      <c r="W2" s="3">
        <f t="shared" si="2"/>
        <v>15</v>
      </c>
      <c r="X2" s="3">
        <f t="shared" si="2"/>
        <v>16</v>
      </c>
      <c r="Y2" s="3">
        <f t="shared" si="2"/>
        <v>17</v>
      </c>
      <c r="Z2" s="3">
        <f t="shared" si="2"/>
        <v>18</v>
      </c>
      <c r="AA2" s="3">
        <f t="shared" si="2"/>
        <v>19</v>
      </c>
      <c r="AB2" s="3">
        <f t="shared" si="2"/>
        <v>20</v>
      </c>
      <c r="AC2" s="3">
        <f t="shared" si="2"/>
        <v>21</v>
      </c>
      <c r="AD2" s="3">
        <f t="shared" si="2"/>
        <v>22</v>
      </c>
      <c r="AE2" s="3">
        <f t="shared" si="2"/>
        <v>23</v>
      </c>
      <c r="AF2" s="3">
        <f t="shared" si="2"/>
        <v>24</v>
      </c>
      <c r="AG2" s="3">
        <f t="shared" si="2"/>
        <v>25</v>
      </c>
      <c r="AH2" s="3">
        <f t="shared" si="2"/>
        <v>26</v>
      </c>
      <c r="AI2" s="3">
        <f t="shared" si="2"/>
        <v>27</v>
      </c>
    </row>
    <row r="3" spans="1:35" ht="15.75" customHeight="1" x14ac:dyDescent="0.15">
      <c r="A3" s="56"/>
      <c r="B3" s="56" t="s">
        <v>112</v>
      </c>
      <c r="C3" s="56" t="s">
        <v>113</v>
      </c>
      <c r="D3" s="56"/>
      <c r="E3" s="56">
        <v>1</v>
      </c>
      <c r="F3" s="56">
        <v>3</v>
      </c>
      <c r="G3" s="56">
        <v>6</v>
      </c>
      <c r="H3" s="56">
        <v>14</v>
      </c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 t="str">
        <f t="shared" ref="W3:AI3" si="3">IF(W$2&lt;$E3,"",IF(W$2&lt;$F3,"D",IF(W$2&lt;$G3,"C-",IF(W$2&lt;=$H3,"C",""))))</f>
        <v/>
      </c>
      <c r="X3" s="56" t="str">
        <f t="shared" si="3"/>
        <v/>
      </c>
      <c r="Y3" s="56" t="str">
        <f t="shared" si="3"/>
        <v/>
      </c>
      <c r="Z3" s="56" t="str">
        <f t="shared" si="3"/>
        <v/>
      </c>
      <c r="AA3" s="56" t="str">
        <f t="shared" si="3"/>
        <v/>
      </c>
      <c r="AB3" s="56" t="str">
        <f t="shared" si="3"/>
        <v/>
      </c>
      <c r="AC3" s="56" t="str">
        <f t="shared" si="3"/>
        <v/>
      </c>
      <c r="AD3" s="56" t="str">
        <f t="shared" si="3"/>
        <v/>
      </c>
      <c r="AE3" s="56" t="str">
        <f t="shared" si="3"/>
        <v/>
      </c>
      <c r="AF3" s="56" t="str">
        <f t="shared" si="3"/>
        <v/>
      </c>
      <c r="AG3" s="56" t="str">
        <f t="shared" si="3"/>
        <v/>
      </c>
      <c r="AH3" s="56" t="str">
        <f t="shared" si="3"/>
        <v/>
      </c>
      <c r="AI3" s="56" t="str">
        <f t="shared" si="3"/>
        <v/>
      </c>
    </row>
    <row r="4" spans="1:35" ht="15.75" customHeight="1" x14ac:dyDescent="0.15">
      <c r="A4" s="3" t="s">
        <v>114</v>
      </c>
      <c r="B4" s="3">
        <v>4</v>
      </c>
      <c r="C4" s="3" t="s">
        <v>0</v>
      </c>
      <c r="E4" s="3">
        <v>1</v>
      </c>
      <c r="F4" s="3">
        <v>3</v>
      </c>
      <c r="G4" s="3">
        <v>6</v>
      </c>
      <c r="H4" s="3">
        <v>14</v>
      </c>
      <c r="I4" s="57" t="str">
        <f t="shared" ref="I4:AI4" si="4">IF(I$2&lt;$E4,"",IF(I$2&lt;$F4,"D",IF(I$2&lt;$G4,"C-",IF(I$2&lt;=$H4,"C",""))))</f>
        <v>D</v>
      </c>
      <c r="J4" s="57" t="str">
        <f t="shared" si="4"/>
        <v>D</v>
      </c>
      <c r="K4" s="57" t="str">
        <f t="shared" si="4"/>
        <v>C-</v>
      </c>
      <c r="L4" s="57" t="str">
        <f t="shared" si="4"/>
        <v>C-</v>
      </c>
      <c r="M4" s="57" t="str">
        <f t="shared" si="4"/>
        <v>C-</v>
      </c>
      <c r="N4" s="57" t="str">
        <f t="shared" si="4"/>
        <v>C</v>
      </c>
      <c r="O4" s="57" t="str">
        <f t="shared" si="4"/>
        <v>C</v>
      </c>
      <c r="P4" s="57" t="str">
        <f t="shared" si="4"/>
        <v>C</v>
      </c>
      <c r="Q4" s="57" t="str">
        <f t="shared" si="4"/>
        <v>C</v>
      </c>
      <c r="R4" s="57" t="str">
        <f t="shared" si="4"/>
        <v>C</v>
      </c>
      <c r="S4" s="57" t="str">
        <f t="shared" si="4"/>
        <v>C</v>
      </c>
      <c r="T4" s="57" t="str">
        <f t="shared" si="4"/>
        <v>C</v>
      </c>
      <c r="U4" s="57" t="str">
        <f t="shared" si="4"/>
        <v>C</v>
      </c>
      <c r="V4" s="57" t="str">
        <f t="shared" si="4"/>
        <v>C</v>
      </c>
      <c r="W4" s="57" t="str">
        <f t="shared" si="4"/>
        <v/>
      </c>
      <c r="X4" s="57" t="str">
        <f t="shared" si="4"/>
        <v/>
      </c>
      <c r="Y4" s="57" t="str">
        <f t="shared" si="4"/>
        <v/>
      </c>
      <c r="Z4" s="57" t="str">
        <f t="shared" si="4"/>
        <v/>
      </c>
      <c r="AA4" s="57" t="str">
        <f t="shared" si="4"/>
        <v/>
      </c>
      <c r="AB4" s="57" t="str">
        <f t="shared" si="4"/>
        <v/>
      </c>
      <c r="AC4" s="57" t="str">
        <f t="shared" si="4"/>
        <v/>
      </c>
      <c r="AD4" s="57" t="str">
        <f t="shared" si="4"/>
        <v/>
      </c>
      <c r="AE4" s="57" t="str">
        <f t="shared" si="4"/>
        <v/>
      </c>
      <c r="AF4" s="57" t="str">
        <f t="shared" si="4"/>
        <v/>
      </c>
      <c r="AG4" s="57" t="str">
        <f t="shared" si="4"/>
        <v/>
      </c>
      <c r="AH4" s="57" t="str">
        <f t="shared" si="4"/>
        <v/>
      </c>
      <c r="AI4" s="57" t="str">
        <f t="shared" si="4"/>
        <v/>
      </c>
    </row>
    <row r="5" spans="1:35" ht="15.75" customHeight="1" x14ac:dyDescent="0.15">
      <c r="A5" s="3" t="s">
        <v>115</v>
      </c>
      <c r="B5" s="3">
        <v>4</v>
      </c>
      <c r="C5" s="3" t="s">
        <v>0</v>
      </c>
      <c r="E5" s="3">
        <v>1</v>
      </c>
      <c r="F5" s="3">
        <v>5</v>
      </c>
      <c r="G5" s="3">
        <v>10</v>
      </c>
      <c r="H5" s="3">
        <v>20</v>
      </c>
      <c r="I5" s="57" t="str">
        <f t="shared" ref="I5:AI5" si="5">IF(I$2&lt;$E5,"",IF(I$2&lt;$F5,"D",IF(I$2&lt;$G5,"C-",IF(I$2&lt;=$H5,"C",""))))</f>
        <v>D</v>
      </c>
      <c r="J5" s="57" t="str">
        <f t="shared" si="5"/>
        <v>D</v>
      </c>
      <c r="K5" s="57" t="str">
        <f t="shared" si="5"/>
        <v>D</v>
      </c>
      <c r="L5" s="57" t="str">
        <f t="shared" si="5"/>
        <v>D</v>
      </c>
      <c r="M5" s="57" t="str">
        <f t="shared" si="5"/>
        <v>C-</v>
      </c>
      <c r="N5" s="57" t="str">
        <f t="shared" si="5"/>
        <v>C-</v>
      </c>
      <c r="O5" s="57" t="str">
        <f t="shared" si="5"/>
        <v>C-</v>
      </c>
      <c r="P5" s="57" t="str">
        <f t="shared" si="5"/>
        <v>C-</v>
      </c>
      <c r="Q5" s="57" t="str">
        <f t="shared" si="5"/>
        <v>C-</v>
      </c>
      <c r="R5" s="57" t="str">
        <f t="shared" si="5"/>
        <v>C</v>
      </c>
      <c r="S5" s="57" t="str">
        <f t="shared" si="5"/>
        <v>C</v>
      </c>
      <c r="T5" s="57" t="str">
        <f t="shared" si="5"/>
        <v>C</v>
      </c>
      <c r="U5" s="57" t="str">
        <f t="shared" si="5"/>
        <v>C</v>
      </c>
      <c r="V5" s="57" t="str">
        <f t="shared" si="5"/>
        <v>C</v>
      </c>
      <c r="W5" s="57" t="str">
        <f t="shared" si="5"/>
        <v>C</v>
      </c>
      <c r="X5" s="57" t="str">
        <f t="shared" si="5"/>
        <v>C</v>
      </c>
      <c r="Y5" s="57" t="str">
        <f t="shared" si="5"/>
        <v>C</v>
      </c>
      <c r="Z5" s="57" t="str">
        <f t="shared" si="5"/>
        <v>C</v>
      </c>
      <c r="AA5" s="57" t="str">
        <f t="shared" si="5"/>
        <v>C</v>
      </c>
      <c r="AB5" s="57" t="str">
        <f t="shared" si="5"/>
        <v>C</v>
      </c>
      <c r="AC5" s="57" t="str">
        <f t="shared" si="5"/>
        <v/>
      </c>
      <c r="AD5" s="57" t="str">
        <f t="shared" si="5"/>
        <v/>
      </c>
      <c r="AE5" s="57" t="str">
        <f t="shared" si="5"/>
        <v/>
      </c>
      <c r="AF5" s="57" t="str">
        <f t="shared" si="5"/>
        <v/>
      </c>
      <c r="AG5" s="57" t="str">
        <f t="shared" si="5"/>
        <v/>
      </c>
      <c r="AH5" s="57" t="str">
        <f t="shared" si="5"/>
        <v/>
      </c>
      <c r="AI5" s="57" t="str">
        <f t="shared" si="5"/>
        <v/>
      </c>
    </row>
    <row r="6" spans="1:35" ht="15.75" customHeight="1" x14ac:dyDescent="0.15">
      <c r="A6" s="3" t="s">
        <v>116</v>
      </c>
      <c r="B6" s="3">
        <v>4</v>
      </c>
      <c r="C6" s="3" t="s">
        <v>117</v>
      </c>
      <c r="E6" s="3">
        <v>2</v>
      </c>
      <c r="F6" s="3">
        <v>8</v>
      </c>
      <c r="G6" s="3">
        <v>14</v>
      </c>
      <c r="H6" s="3">
        <v>25</v>
      </c>
      <c r="I6" s="57" t="str">
        <f t="shared" ref="I6:AI6" si="6">IF(I$2&lt;$E6,"",IF(I$2&lt;$F6,"D",IF(I$2&lt;$G6,"C-",IF(I$2&lt;=$H6,"C",""))))</f>
        <v/>
      </c>
      <c r="J6" s="57" t="str">
        <f t="shared" si="6"/>
        <v>D</v>
      </c>
      <c r="K6" s="57" t="str">
        <f t="shared" si="6"/>
        <v>D</v>
      </c>
      <c r="L6" s="57" t="str">
        <f t="shared" si="6"/>
        <v>D</v>
      </c>
      <c r="M6" s="57" t="str">
        <f t="shared" si="6"/>
        <v>D</v>
      </c>
      <c r="N6" s="57" t="str">
        <f t="shared" si="6"/>
        <v>D</v>
      </c>
      <c r="O6" s="57" t="str">
        <f t="shared" si="6"/>
        <v>D</v>
      </c>
      <c r="P6" s="57" t="str">
        <f t="shared" si="6"/>
        <v>C-</v>
      </c>
      <c r="Q6" s="57" t="str">
        <f t="shared" si="6"/>
        <v>C-</v>
      </c>
      <c r="R6" s="57" t="str">
        <f t="shared" si="6"/>
        <v>C-</v>
      </c>
      <c r="S6" s="57" t="str">
        <f t="shared" si="6"/>
        <v>C-</v>
      </c>
      <c r="T6" s="57" t="str">
        <f t="shared" si="6"/>
        <v>C-</v>
      </c>
      <c r="U6" s="57" t="str">
        <f t="shared" si="6"/>
        <v>C-</v>
      </c>
      <c r="V6" s="57" t="str">
        <f t="shared" si="6"/>
        <v>C</v>
      </c>
      <c r="W6" s="57" t="str">
        <f t="shared" si="6"/>
        <v>C</v>
      </c>
      <c r="X6" s="57" t="str">
        <f t="shared" si="6"/>
        <v>C</v>
      </c>
      <c r="Y6" s="57" t="str">
        <f t="shared" si="6"/>
        <v>C</v>
      </c>
      <c r="Z6" s="57" t="str">
        <f t="shared" si="6"/>
        <v>C</v>
      </c>
      <c r="AA6" s="57" t="str">
        <f t="shared" si="6"/>
        <v>C</v>
      </c>
      <c r="AB6" s="57" t="str">
        <f t="shared" si="6"/>
        <v>C</v>
      </c>
      <c r="AC6" s="57" t="str">
        <f t="shared" si="6"/>
        <v>C</v>
      </c>
      <c r="AD6" s="57" t="str">
        <f t="shared" si="6"/>
        <v>C</v>
      </c>
      <c r="AE6" s="57" t="str">
        <f t="shared" si="6"/>
        <v>C</v>
      </c>
      <c r="AF6" s="57" t="str">
        <f t="shared" si="6"/>
        <v>C</v>
      </c>
      <c r="AG6" s="57" t="str">
        <f t="shared" si="6"/>
        <v>C</v>
      </c>
      <c r="AH6" s="57" t="str">
        <f t="shared" si="6"/>
        <v/>
      </c>
      <c r="AI6" s="57" t="str">
        <f t="shared" si="6"/>
        <v/>
      </c>
    </row>
    <row r="7" spans="1:35" ht="15.75" customHeight="1" x14ac:dyDescent="0.15">
      <c r="A7" s="3" t="s">
        <v>118</v>
      </c>
      <c r="B7" s="3">
        <v>8</v>
      </c>
      <c r="C7" s="3" t="s">
        <v>0</v>
      </c>
      <c r="E7" s="3">
        <v>6</v>
      </c>
      <c r="F7" s="3">
        <v>12</v>
      </c>
      <c r="G7" s="3">
        <v>18</v>
      </c>
      <c r="H7" s="3">
        <v>27</v>
      </c>
      <c r="I7" s="57" t="str">
        <f t="shared" ref="I7:AI7" si="7">IF(I$2&lt;$E7,"",IF(I$2&lt;$F7,"D",IF(I$2&lt;$G7,"C-",IF(I$2&lt;=$H7,"C",""))))</f>
        <v/>
      </c>
      <c r="J7" s="57" t="str">
        <f t="shared" si="7"/>
        <v/>
      </c>
      <c r="K7" s="57" t="str">
        <f t="shared" si="7"/>
        <v/>
      </c>
      <c r="L7" s="57" t="str">
        <f t="shared" si="7"/>
        <v/>
      </c>
      <c r="M7" s="57" t="str">
        <f t="shared" si="7"/>
        <v/>
      </c>
      <c r="N7" s="57" t="str">
        <f t="shared" si="7"/>
        <v>D</v>
      </c>
      <c r="O7" s="57" t="str">
        <f t="shared" si="7"/>
        <v>D</v>
      </c>
      <c r="P7" s="57" t="str">
        <f t="shared" si="7"/>
        <v>D</v>
      </c>
      <c r="Q7" s="57" t="str">
        <f t="shared" si="7"/>
        <v>D</v>
      </c>
      <c r="R7" s="57" t="str">
        <f t="shared" si="7"/>
        <v>D</v>
      </c>
      <c r="S7" s="57" t="str">
        <f t="shared" si="7"/>
        <v>D</v>
      </c>
      <c r="T7" s="57" t="str">
        <f t="shared" si="7"/>
        <v>C-</v>
      </c>
      <c r="U7" s="57" t="str">
        <f t="shared" si="7"/>
        <v>C-</v>
      </c>
      <c r="V7" s="57" t="str">
        <f t="shared" si="7"/>
        <v>C-</v>
      </c>
      <c r="W7" s="57" t="str">
        <f t="shared" si="7"/>
        <v>C-</v>
      </c>
      <c r="X7" s="57" t="str">
        <f t="shared" si="7"/>
        <v>C-</v>
      </c>
      <c r="Y7" s="57" t="str">
        <f t="shared" si="7"/>
        <v>C-</v>
      </c>
      <c r="Z7" s="57" t="str">
        <f t="shared" si="7"/>
        <v>C</v>
      </c>
      <c r="AA7" s="57" t="str">
        <f t="shared" si="7"/>
        <v>C</v>
      </c>
      <c r="AB7" s="57" t="str">
        <f t="shared" si="7"/>
        <v>C</v>
      </c>
      <c r="AC7" s="57" t="str">
        <f t="shared" si="7"/>
        <v>C</v>
      </c>
      <c r="AD7" s="57" t="str">
        <f t="shared" si="7"/>
        <v>C</v>
      </c>
      <c r="AE7" s="57" t="str">
        <f t="shared" si="7"/>
        <v>C</v>
      </c>
      <c r="AF7" s="57" t="str">
        <f t="shared" si="7"/>
        <v>C</v>
      </c>
      <c r="AG7" s="57" t="str">
        <f t="shared" si="7"/>
        <v>C</v>
      </c>
      <c r="AH7" s="57" t="str">
        <f t="shared" si="7"/>
        <v>C</v>
      </c>
      <c r="AI7" s="57" t="str">
        <f t="shared" si="7"/>
        <v>C</v>
      </c>
    </row>
    <row r="8" spans="1:35" ht="15.75" customHeight="1" x14ac:dyDescent="0.15">
      <c r="A8" s="3" t="s">
        <v>119</v>
      </c>
      <c r="B8" s="3">
        <v>8</v>
      </c>
      <c r="C8" s="3" t="s">
        <v>0</v>
      </c>
      <c r="E8" s="3">
        <v>6</v>
      </c>
      <c r="F8" s="3">
        <v>12</v>
      </c>
      <c r="G8" s="3">
        <v>18</v>
      </c>
      <c r="H8" s="3">
        <v>27</v>
      </c>
      <c r="I8" s="57" t="str">
        <f t="shared" ref="I8:AI8" si="8">IF(I$2&lt;$E8,"",IF(I$2&lt;$F8,"D",IF(I$2&lt;$G8,"C-",IF(I$2&lt;=$H8,"C",""))))</f>
        <v/>
      </c>
      <c r="J8" s="57" t="str">
        <f t="shared" si="8"/>
        <v/>
      </c>
      <c r="K8" s="57" t="str">
        <f t="shared" si="8"/>
        <v/>
      </c>
      <c r="L8" s="57" t="str">
        <f t="shared" si="8"/>
        <v/>
      </c>
      <c r="M8" s="57" t="str">
        <f t="shared" si="8"/>
        <v/>
      </c>
      <c r="N8" s="57" t="str">
        <f t="shared" si="8"/>
        <v>D</v>
      </c>
      <c r="O8" s="57" t="str">
        <f t="shared" si="8"/>
        <v>D</v>
      </c>
      <c r="P8" s="57" t="str">
        <f t="shared" si="8"/>
        <v>D</v>
      </c>
      <c r="Q8" s="57" t="str">
        <f t="shared" si="8"/>
        <v>D</v>
      </c>
      <c r="R8" s="57" t="str">
        <f t="shared" si="8"/>
        <v>D</v>
      </c>
      <c r="S8" s="57" t="str">
        <f t="shared" si="8"/>
        <v>D</v>
      </c>
      <c r="T8" s="57" t="str">
        <f t="shared" si="8"/>
        <v>C-</v>
      </c>
      <c r="U8" s="57" t="str">
        <f t="shared" si="8"/>
        <v>C-</v>
      </c>
      <c r="V8" s="57" t="str">
        <f t="shared" si="8"/>
        <v>C-</v>
      </c>
      <c r="W8" s="57" t="str">
        <f t="shared" si="8"/>
        <v>C-</v>
      </c>
      <c r="X8" s="57" t="str">
        <f t="shared" si="8"/>
        <v>C-</v>
      </c>
      <c r="Y8" s="57" t="str">
        <f t="shared" si="8"/>
        <v>C-</v>
      </c>
      <c r="Z8" s="57" t="str">
        <f t="shared" si="8"/>
        <v>C</v>
      </c>
      <c r="AA8" s="57" t="str">
        <f t="shared" si="8"/>
        <v>C</v>
      </c>
      <c r="AB8" s="57" t="str">
        <f t="shared" si="8"/>
        <v>C</v>
      </c>
      <c r="AC8" s="57" t="str">
        <f t="shared" si="8"/>
        <v>C</v>
      </c>
      <c r="AD8" s="57" t="str">
        <f t="shared" si="8"/>
        <v>C</v>
      </c>
      <c r="AE8" s="57" t="str">
        <f t="shared" si="8"/>
        <v>C</v>
      </c>
      <c r="AF8" s="57" t="str">
        <f t="shared" si="8"/>
        <v>C</v>
      </c>
      <c r="AG8" s="57" t="str">
        <f t="shared" si="8"/>
        <v>C</v>
      </c>
      <c r="AH8" s="57" t="str">
        <f t="shared" si="8"/>
        <v>C</v>
      </c>
      <c r="AI8" s="57" t="str">
        <f t="shared" si="8"/>
        <v>C</v>
      </c>
    </row>
    <row r="9" spans="1:35" ht="15.75" customHeight="1" x14ac:dyDescent="0.15">
      <c r="B9" s="56" t="s">
        <v>120</v>
      </c>
    </row>
    <row r="10" spans="1:35" ht="15.75" customHeight="1" x14ac:dyDescent="0.15">
      <c r="A10" s="3" t="s">
        <v>121</v>
      </c>
      <c r="B10" s="3">
        <v>5</v>
      </c>
      <c r="D10" s="3" t="s">
        <v>122</v>
      </c>
      <c r="E10" s="3">
        <v>2</v>
      </c>
      <c r="F10" s="3">
        <v>5</v>
      </c>
      <c r="G10" s="3">
        <f t="shared" ref="G10:G19" si="9">E10+3</f>
        <v>5</v>
      </c>
      <c r="H10" s="3">
        <v>7</v>
      </c>
      <c r="I10" s="57" t="str">
        <f t="shared" ref="I10:AI10" si="10">IF(I$2&lt;$E10,"",IF(I$2&lt;$F10,"D",IF(I$2&lt;$G10,"C-",IF(I$2&lt;=$H10,"C",""))))</f>
        <v/>
      </c>
      <c r="J10" s="57" t="str">
        <f t="shared" si="10"/>
        <v>D</v>
      </c>
      <c r="K10" s="57" t="str">
        <f t="shared" si="10"/>
        <v>D</v>
      </c>
      <c r="L10" s="57" t="str">
        <f t="shared" si="10"/>
        <v>D</v>
      </c>
      <c r="M10" s="57" t="str">
        <f t="shared" si="10"/>
        <v>C</v>
      </c>
      <c r="N10" s="57" t="str">
        <f t="shared" si="10"/>
        <v>C</v>
      </c>
      <c r="O10" s="57" t="str">
        <f t="shared" si="10"/>
        <v>C</v>
      </c>
      <c r="P10" s="57" t="str">
        <f t="shared" si="10"/>
        <v/>
      </c>
      <c r="Q10" s="57" t="str">
        <f t="shared" si="10"/>
        <v/>
      </c>
      <c r="R10" s="57" t="str">
        <f t="shared" si="10"/>
        <v/>
      </c>
      <c r="S10" s="57" t="str">
        <f t="shared" si="10"/>
        <v/>
      </c>
      <c r="T10" s="57" t="str">
        <f t="shared" si="10"/>
        <v/>
      </c>
      <c r="U10" s="57" t="str">
        <f t="shared" si="10"/>
        <v/>
      </c>
      <c r="V10" s="57" t="str">
        <f t="shared" si="10"/>
        <v/>
      </c>
      <c r="W10" s="57" t="str">
        <f t="shared" si="10"/>
        <v/>
      </c>
      <c r="X10" s="57" t="str">
        <f t="shared" si="10"/>
        <v/>
      </c>
      <c r="Y10" s="57" t="str">
        <f t="shared" si="10"/>
        <v/>
      </c>
      <c r="Z10" s="57" t="str">
        <f t="shared" si="10"/>
        <v/>
      </c>
      <c r="AA10" s="57" t="str">
        <f t="shared" si="10"/>
        <v/>
      </c>
      <c r="AB10" s="57" t="str">
        <f t="shared" si="10"/>
        <v/>
      </c>
      <c r="AC10" s="57" t="str">
        <f t="shared" si="10"/>
        <v/>
      </c>
      <c r="AD10" s="57" t="str">
        <f t="shared" si="10"/>
        <v/>
      </c>
      <c r="AE10" s="57" t="str">
        <f t="shared" si="10"/>
        <v/>
      </c>
      <c r="AF10" s="57" t="str">
        <f t="shared" si="10"/>
        <v/>
      </c>
      <c r="AG10" s="57" t="str">
        <f t="shared" si="10"/>
        <v/>
      </c>
      <c r="AH10" s="57" t="str">
        <f t="shared" si="10"/>
        <v/>
      </c>
      <c r="AI10" s="57" t="str">
        <f t="shared" si="10"/>
        <v/>
      </c>
    </row>
    <row r="11" spans="1:35" ht="15.75" customHeight="1" x14ac:dyDescent="0.15">
      <c r="A11" s="3" t="s">
        <v>123</v>
      </c>
      <c r="B11" s="3">
        <v>5</v>
      </c>
      <c r="D11" s="3" t="s">
        <v>124</v>
      </c>
      <c r="E11" s="3">
        <v>3</v>
      </c>
      <c r="F11" s="3">
        <f t="shared" ref="F11:F19" si="11">G11</f>
        <v>6</v>
      </c>
      <c r="G11" s="3">
        <f t="shared" si="9"/>
        <v>6</v>
      </c>
      <c r="H11" s="3">
        <v>8</v>
      </c>
      <c r="I11" s="57" t="str">
        <f t="shared" ref="I11:AI11" si="12">IF(I$2&lt;$E11,"",IF(I$2&lt;$F11,"D",IF(I$2&lt;$G11,"C-",IF(I$2&lt;=$H11,"C",""))))</f>
        <v/>
      </c>
      <c r="J11" s="57" t="str">
        <f t="shared" si="12"/>
        <v/>
      </c>
      <c r="K11" s="57" t="str">
        <f t="shared" si="12"/>
        <v>D</v>
      </c>
      <c r="L11" s="57" t="str">
        <f t="shared" si="12"/>
        <v>D</v>
      </c>
      <c r="M11" s="57" t="str">
        <f t="shared" si="12"/>
        <v>D</v>
      </c>
      <c r="N11" s="57" t="str">
        <f t="shared" si="12"/>
        <v>C</v>
      </c>
      <c r="O11" s="57" t="str">
        <f t="shared" si="12"/>
        <v>C</v>
      </c>
      <c r="P11" s="57" t="str">
        <f t="shared" si="12"/>
        <v>C</v>
      </c>
      <c r="Q11" s="57" t="str">
        <f t="shared" si="12"/>
        <v/>
      </c>
      <c r="R11" s="57" t="str">
        <f t="shared" si="12"/>
        <v/>
      </c>
      <c r="S11" s="57" t="str">
        <f t="shared" si="12"/>
        <v/>
      </c>
      <c r="T11" s="57" t="str">
        <f t="shared" si="12"/>
        <v/>
      </c>
      <c r="U11" s="57" t="str">
        <f t="shared" si="12"/>
        <v/>
      </c>
      <c r="V11" s="57" t="str">
        <f t="shared" si="12"/>
        <v/>
      </c>
      <c r="W11" s="57" t="str">
        <f t="shared" si="12"/>
        <v/>
      </c>
      <c r="X11" s="57" t="str">
        <f t="shared" si="12"/>
        <v/>
      </c>
      <c r="Y11" s="57" t="str">
        <f t="shared" si="12"/>
        <v/>
      </c>
      <c r="Z11" s="57" t="str">
        <f t="shared" si="12"/>
        <v/>
      </c>
      <c r="AA11" s="57" t="str">
        <f t="shared" si="12"/>
        <v/>
      </c>
      <c r="AB11" s="57" t="str">
        <f t="shared" si="12"/>
        <v/>
      </c>
      <c r="AC11" s="57" t="str">
        <f t="shared" si="12"/>
        <v/>
      </c>
      <c r="AD11" s="57" t="str">
        <f t="shared" si="12"/>
        <v/>
      </c>
      <c r="AE11" s="57" t="str">
        <f t="shared" si="12"/>
        <v/>
      </c>
      <c r="AF11" s="57" t="str">
        <f t="shared" si="12"/>
        <v/>
      </c>
      <c r="AG11" s="57" t="str">
        <f t="shared" si="12"/>
        <v/>
      </c>
      <c r="AH11" s="57" t="str">
        <f t="shared" si="12"/>
        <v/>
      </c>
      <c r="AI11" s="57" t="str">
        <f t="shared" si="12"/>
        <v/>
      </c>
    </row>
    <row r="12" spans="1:35" ht="15.75" customHeight="1" x14ac:dyDescent="0.15">
      <c r="A12" s="3" t="s">
        <v>125</v>
      </c>
      <c r="B12" s="3">
        <v>5</v>
      </c>
      <c r="D12" s="3" t="s">
        <v>116</v>
      </c>
      <c r="E12" s="3">
        <v>5</v>
      </c>
      <c r="F12" s="3">
        <f t="shared" si="11"/>
        <v>8</v>
      </c>
      <c r="G12" s="3">
        <f t="shared" si="9"/>
        <v>8</v>
      </c>
      <c r="H12" s="3">
        <f t="shared" ref="H12:H19" si="13">G12+2</f>
        <v>10</v>
      </c>
      <c r="I12" s="57" t="str">
        <f t="shared" ref="I12:AI12" si="14">IF(I$2&lt;$E12,"",IF(I$2&lt;$F12,"D",IF(I$2&lt;$G12,"C-",IF(I$2&lt;=$H12,"C",""))))</f>
        <v/>
      </c>
      <c r="J12" s="57" t="str">
        <f t="shared" si="14"/>
        <v/>
      </c>
      <c r="K12" s="57" t="str">
        <f t="shared" si="14"/>
        <v/>
      </c>
      <c r="L12" s="57" t="str">
        <f t="shared" si="14"/>
        <v/>
      </c>
      <c r="M12" s="57" t="str">
        <f t="shared" si="14"/>
        <v>D</v>
      </c>
      <c r="N12" s="57" t="str">
        <f t="shared" si="14"/>
        <v>D</v>
      </c>
      <c r="O12" s="57" t="str">
        <f t="shared" si="14"/>
        <v>D</v>
      </c>
      <c r="P12" s="57" t="str">
        <f t="shared" si="14"/>
        <v>C</v>
      </c>
      <c r="Q12" s="57" t="str">
        <f t="shared" si="14"/>
        <v>C</v>
      </c>
      <c r="R12" s="57" t="str">
        <f t="shared" si="14"/>
        <v>C</v>
      </c>
      <c r="S12" s="57" t="str">
        <f t="shared" si="14"/>
        <v/>
      </c>
      <c r="T12" s="57" t="str">
        <f t="shared" si="14"/>
        <v/>
      </c>
      <c r="U12" s="57" t="str">
        <f t="shared" si="14"/>
        <v/>
      </c>
      <c r="V12" s="57" t="str">
        <f t="shared" si="14"/>
        <v/>
      </c>
      <c r="W12" s="57" t="str">
        <f t="shared" si="14"/>
        <v/>
      </c>
      <c r="X12" s="57" t="str">
        <f t="shared" si="14"/>
        <v/>
      </c>
      <c r="Y12" s="57" t="str">
        <f t="shared" si="14"/>
        <v/>
      </c>
      <c r="Z12" s="57" t="str">
        <f t="shared" si="14"/>
        <v/>
      </c>
      <c r="AA12" s="57" t="str">
        <f t="shared" si="14"/>
        <v/>
      </c>
      <c r="AB12" s="57" t="str">
        <f t="shared" si="14"/>
        <v/>
      </c>
      <c r="AC12" s="57" t="str">
        <f t="shared" si="14"/>
        <v/>
      </c>
      <c r="AD12" s="57" t="str">
        <f t="shared" si="14"/>
        <v/>
      </c>
      <c r="AE12" s="57" t="str">
        <f t="shared" si="14"/>
        <v/>
      </c>
      <c r="AF12" s="57" t="str">
        <f t="shared" si="14"/>
        <v/>
      </c>
      <c r="AG12" s="57" t="str">
        <f t="shared" si="14"/>
        <v/>
      </c>
      <c r="AH12" s="57" t="str">
        <f t="shared" si="14"/>
        <v/>
      </c>
      <c r="AI12" s="57" t="str">
        <f t="shared" si="14"/>
        <v/>
      </c>
    </row>
    <row r="13" spans="1:35" ht="15.75" customHeight="1" x14ac:dyDescent="0.15">
      <c r="A13" s="3" t="s">
        <v>126</v>
      </c>
      <c r="B13" s="3">
        <v>10</v>
      </c>
      <c r="D13" s="3" t="s">
        <v>118</v>
      </c>
      <c r="E13" s="3">
        <v>6</v>
      </c>
      <c r="F13" s="3">
        <f t="shared" si="11"/>
        <v>9</v>
      </c>
      <c r="G13" s="3">
        <f t="shared" si="9"/>
        <v>9</v>
      </c>
      <c r="H13" s="3">
        <f t="shared" si="13"/>
        <v>11</v>
      </c>
      <c r="I13" s="57" t="str">
        <f t="shared" ref="I13:AI13" si="15">IF(I$2&lt;$E13,"",IF(I$2&lt;$F13,"D",IF(I$2&lt;$G13,"C-",IF(I$2&lt;=$H13,"C",""))))</f>
        <v/>
      </c>
      <c r="J13" s="57" t="str">
        <f t="shared" si="15"/>
        <v/>
      </c>
      <c r="K13" s="57" t="str">
        <f t="shared" si="15"/>
        <v/>
      </c>
      <c r="L13" s="57" t="str">
        <f t="shared" si="15"/>
        <v/>
      </c>
      <c r="M13" s="57" t="str">
        <f t="shared" si="15"/>
        <v/>
      </c>
      <c r="N13" s="57" t="str">
        <f t="shared" si="15"/>
        <v>D</v>
      </c>
      <c r="O13" s="57" t="str">
        <f t="shared" si="15"/>
        <v>D</v>
      </c>
      <c r="P13" s="57" t="str">
        <f t="shared" si="15"/>
        <v>D</v>
      </c>
      <c r="Q13" s="57" t="str">
        <f t="shared" si="15"/>
        <v>C</v>
      </c>
      <c r="R13" s="57" t="str">
        <f t="shared" si="15"/>
        <v>C</v>
      </c>
      <c r="S13" s="57" t="str">
        <f t="shared" si="15"/>
        <v>C</v>
      </c>
      <c r="T13" s="57" t="str">
        <f t="shared" si="15"/>
        <v/>
      </c>
      <c r="U13" s="57" t="str">
        <f t="shared" si="15"/>
        <v/>
      </c>
      <c r="V13" s="57" t="str">
        <f t="shared" si="15"/>
        <v/>
      </c>
      <c r="W13" s="57" t="str">
        <f t="shared" si="15"/>
        <v/>
      </c>
      <c r="X13" s="57" t="str">
        <f t="shared" si="15"/>
        <v/>
      </c>
      <c r="Y13" s="57" t="str">
        <f t="shared" si="15"/>
        <v/>
      </c>
      <c r="Z13" s="57" t="str">
        <f t="shared" si="15"/>
        <v/>
      </c>
      <c r="AA13" s="57" t="str">
        <f t="shared" si="15"/>
        <v/>
      </c>
      <c r="AB13" s="57" t="str">
        <f t="shared" si="15"/>
        <v/>
      </c>
      <c r="AC13" s="57" t="str">
        <f t="shared" si="15"/>
        <v/>
      </c>
      <c r="AD13" s="57" t="str">
        <f t="shared" si="15"/>
        <v/>
      </c>
      <c r="AE13" s="57" t="str">
        <f t="shared" si="15"/>
        <v/>
      </c>
      <c r="AF13" s="57" t="str">
        <f t="shared" si="15"/>
        <v/>
      </c>
      <c r="AG13" s="57" t="str">
        <f t="shared" si="15"/>
        <v/>
      </c>
      <c r="AH13" s="57" t="str">
        <f t="shared" si="15"/>
        <v/>
      </c>
      <c r="AI13" s="57" t="str">
        <f t="shared" si="15"/>
        <v/>
      </c>
    </row>
    <row r="14" spans="1:35" ht="15.75" customHeight="1" x14ac:dyDescent="0.15">
      <c r="A14" s="3" t="s">
        <v>127</v>
      </c>
      <c r="B14" s="3">
        <v>10</v>
      </c>
      <c r="D14" s="3" t="s">
        <v>119</v>
      </c>
      <c r="E14" s="3">
        <v>7</v>
      </c>
      <c r="F14" s="3">
        <f t="shared" si="11"/>
        <v>10</v>
      </c>
      <c r="G14" s="3">
        <f t="shared" si="9"/>
        <v>10</v>
      </c>
      <c r="H14" s="3">
        <f t="shared" si="13"/>
        <v>12</v>
      </c>
      <c r="I14" s="57" t="str">
        <f t="shared" ref="I14:AI14" si="16">IF(I$2&lt;$E14,"",IF(I$2&lt;$F14,"D",IF(I$2&lt;$G14,"C-",IF(I$2&lt;=$H14,"C",""))))</f>
        <v/>
      </c>
      <c r="J14" s="57" t="str">
        <f t="shared" si="16"/>
        <v/>
      </c>
      <c r="K14" s="57" t="str">
        <f t="shared" si="16"/>
        <v/>
      </c>
      <c r="L14" s="57" t="str">
        <f t="shared" si="16"/>
        <v/>
      </c>
      <c r="M14" s="57" t="str">
        <f t="shared" si="16"/>
        <v/>
      </c>
      <c r="N14" s="57" t="str">
        <f t="shared" si="16"/>
        <v/>
      </c>
      <c r="O14" s="57" t="str">
        <f t="shared" si="16"/>
        <v>D</v>
      </c>
      <c r="P14" s="57" t="str">
        <f t="shared" si="16"/>
        <v>D</v>
      </c>
      <c r="Q14" s="57" t="str">
        <f t="shared" si="16"/>
        <v>D</v>
      </c>
      <c r="R14" s="57" t="str">
        <f t="shared" si="16"/>
        <v>C</v>
      </c>
      <c r="S14" s="57" t="str">
        <f t="shared" si="16"/>
        <v>C</v>
      </c>
      <c r="T14" s="57" t="str">
        <f t="shared" si="16"/>
        <v>C</v>
      </c>
      <c r="U14" s="57" t="str">
        <f t="shared" si="16"/>
        <v/>
      </c>
      <c r="V14" s="57" t="str">
        <f t="shared" si="16"/>
        <v/>
      </c>
      <c r="W14" s="57" t="str">
        <f t="shared" si="16"/>
        <v/>
      </c>
      <c r="X14" s="57" t="str">
        <f t="shared" si="16"/>
        <v/>
      </c>
      <c r="Y14" s="57" t="str">
        <f t="shared" si="16"/>
        <v/>
      </c>
      <c r="Z14" s="57" t="str">
        <f t="shared" si="16"/>
        <v/>
      </c>
      <c r="AA14" s="57" t="str">
        <f t="shared" si="16"/>
        <v/>
      </c>
      <c r="AB14" s="57" t="str">
        <f t="shared" si="16"/>
        <v/>
      </c>
      <c r="AC14" s="57" t="str">
        <f t="shared" si="16"/>
        <v/>
      </c>
      <c r="AD14" s="57" t="str">
        <f t="shared" si="16"/>
        <v/>
      </c>
      <c r="AE14" s="57" t="str">
        <f t="shared" si="16"/>
        <v/>
      </c>
      <c r="AF14" s="57" t="str">
        <f t="shared" si="16"/>
        <v/>
      </c>
      <c r="AG14" s="57" t="str">
        <f t="shared" si="16"/>
        <v/>
      </c>
      <c r="AH14" s="57" t="str">
        <f t="shared" si="16"/>
        <v/>
      </c>
      <c r="AI14" s="57" t="str">
        <f t="shared" si="16"/>
        <v/>
      </c>
    </row>
    <row r="15" spans="1:35" ht="15.75" customHeight="1" x14ac:dyDescent="0.15">
      <c r="A15" s="3" t="s">
        <v>128</v>
      </c>
      <c r="B15" s="3">
        <v>5</v>
      </c>
      <c r="E15" s="3">
        <v>8</v>
      </c>
      <c r="F15" s="3">
        <f t="shared" si="11"/>
        <v>11</v>
      </c>
      <c r="G15" s="3">
        <f t="shared" si="9"/>
        <v>11</v>
      </c>
      <c r="H15" s="3">
        <f t="shared" si="13"/>
        <v>13</v>
      </c>
      <c r="I15" s="57" t="str">
        <f t="shared" ref="I15:AI15" si="17">IF(I$2&lt;$E15,"",IF(I$2&lt;$F15,"D",IF(I$2&lt;$G15,"C-",IF(I$2&lt;=$H15,"C",""))))</f>
        <v/>
      </c>
      <c r="J15" s="57" t="str">
        <f t="shared" si="17"/>
        <v/>
      </c>
      <c r="K15" s="57" t="str">
        <f t="shared" si="17"/>
        <v/>
      </c>
      <c r="L15" s="57" t="str">
        <f t="shared" si="17"/>
        <v/>
      </c>
      <c r="M15" s="57" t="str">
        <f t="shared" si="17"/>
        <v/>
      </c>
      <c r="N15" s="57" t="str">
        <f t="shared" si="17"/>
        <v/>
      </c>
      <c r="O15" s="57" t="str">
        <f t="shared" si="17"/>
        <v/>
      </c>
      <c r="P15" s="57" t="str">
        <f t="shared" si="17"/>
        <v>D</v>
      </c>
      <c r="Q15" s="57" t="str">
        <f t="shared" si="17"/>
        <v>D</v>
      </c>
      <c r="R15" s="57" t="str">
        <f t="shared" si="17"/>
        <v>D</v>
      </c>
      <c r="S15" s="57" t="str">
        <f t="shared" si="17"/>
        <v>C</v>
      </c>
      <c r="T15" s="57" t="str">
        <f t="shared" si="17"/>
        <v>C</v>
      </c>
      <c r="U15" s="57" t="str">
        <f t="shared" si="17"/>
        <v>C</v>
      </c>
      <c r="V15" s="57" t="str">
        <f t="shared" si="17"/>
        <v/>
      </c>
      <c r="W15" s="57" t="str">
        <f t="shared" si="17"/>
        <v/>
      </c>
      <c r="X15" s="57" t="str">
        <f t="shared" si="17"/>
        <v/>
      </c>
      <c r="Y15" s="57" t="str">
        <f t="shared" si="17"/>
        <v/>
      </c>
      <c r="Z15" s="57" t="str">
        <f t="shared" si="17"/>
        <v/>
      </c>
      <c r="AA15" s="57" t="str">
        <f t="shared" si="17"/>
        <v/>
      </c>
      <c r="AB15" s="57" t="str">
        <f t="shared" si="17"/>
        <v/>
      </c>
      <c r="AC15" s="57" t="str">
        <f t="shared" si="17"/>
        <v/>
      </c>
      <c r="AD15" s="57" t="str">
        <f t="shared" si="17"/>
        <v/>
      </c>
      <c r="AE15" s="57" t="str">
        <f t="shared" si="17"/>
        <v/>
      </c>
      <c r="AF15" s="57" t="str">
        <f t="shared" si="17"/>
        <v/>
      </c>
      <c r="AG15" s="57" t="str">
        <f t="shared" si="17"/>
        <v/>
      </c>
      <c r="AH15" s="57" t="str">
        <f t="shared" si="17"/>
        <v/>
      </c>
      <c r="AI15" s="57" t="str">
        <f t="shared" si="17"/>
        <v/>
      </c>
    </row>
    <row r="16" spans="1:35" ht="15.75" customHeight="1" x14ac:dyDescent="0.15">
      <c r="A16" s="3" t="s">
        <v>129</v>
      </c>
      <c r="B16" s="3">
        <v>10</v>
      </c>
      <c r="E16" s="3">
        <v>9</v>
      </c>
      <c r="F16" s="3">
        <f t="shared" si="11"/>
        <v>12</v>
      </c>
      <c r="G16" s="3">
        <f t="shared" si="9"/>
        <v>12</v>
      </c>
      <c r="H16" s="3">
        <f t="shared" si="13"/>
        <v>14</v>
      </c>
      <c r="I16" s="57" t="str">
        <f t="shared" ref="I16:AI16" si="18">IF(I$2&lt;$E16,"",IF(I$2&lt;$F16,"D",IF(I$2&lt;$G16,"C-",IF(I$2&lt;=$H16,"C",""))))</f>
        <v/>
      </c>
      <c r="J16" s="57" t="str">
        <f t="shared" si="18"/>
        <v/>
      </c>
      <c r="K16" s="57" t="str">
        <f t="shared" si="18"/>
        <v/>
      </c>
      <c r="L16" s="57" t="str">
        <f t="shared" si="18"/>
        <v/>
      </c>
      <c r="M16" s="57" t="str">
        <f t="shared" si="18"/>
        <v/>
      </c>
      <c r="N16" s="57" t="str">
        <f t="shared" si="18"/>
        <v/>
      </c>
      <c r="O16" s="57" t="str">
        <f t="shared" si="18"/>
        <v/>
      </c>
      <c r="P16" s="57" t="str">
        <f t="shared" si="18"/>
        <v/>
      </c>
      <c r="Q16" s="57" t="str">
        <f t="shared" si="18"/>
        <v>D</v>
      </c>
      <c r="R16" s="57" t="str">
        <f t="shared" si="18"/>
        <v>D</v>
      </c>
      <c r="S16" s="57" t="str">
        <f t="shared" si="18"/>
        <v>D</v>
      </c>
      <c r="T16" s="57" t="str">
        <f t="shared" si="18"/>
        <v>C</v>
      </c>
      <c r="U16" s="57" t="str">
        <f t="shared" si="18"/>
        <v>C</v>
      </c>
      <c r="V16" s="57" t="str">
        <f t="shared" si="18"/>
        <v>C</v>
      </c>
      <c r="W16" s="57" t="str">
        <f t="shared" si="18"/>
        <v/>
      </c>
      <c r="X16" s="57" t="str">
        <f t="shared" si="18"/>
        <v/>
      </c>
      <c r="Y16" s="57" t="str">
        <f t="shared" si="18"/>
        <v/>
      </c>
      <c r="Z16" s="57" t="str">
        <f t="shared" si="18"/>
        <v/>
      </c>
      <c r="AA16" s="57" t="str">
        <f t="shared" si="18"/>
        <v/>
      </c>
      <c r="AB16" s="57" t="str">
        <f t="shared" si="18"/>
        <v/>
      </c>
      <c r="AC16" s="57" t="str">
        <f t="shared" si="18"/>
        <v/>
      </c>
      <c r="AD16" s="57" t="str">
        <f t="shared" si="18"/>
        <v/>
      </c>
      <c r="AE16" s="57" t="str">
        <f t="shared" si="18"/>
        <v/>
      </c>
      <c r="AF16" s="57" t="str">
        <f t="shared" si="18"/>
        <v/>
      </c>
      <c r="AG16" s="57" t="str">
        <f t="shared" si="18"/>
        <v/>
      </c>
      <c r="AH16" s="57" t="str">
        <f t="shared" si="18"/>
        <v/>
      </c>
      <c r="AI16" s="57" t="str">
        <f t="shared" si="18"/>
        <v/>
      </c>
    </row>
    <row r="17" spans="1:35" ht="15.75" customHeight="1" x14ac:dyDescent="0.15">
      <c r="A17" s="3" t="s">
        <v>130</v>
      </c>
      <c r="B17" s="3">
        <v>10</v>
      </c>
      <c r="E17" s="3">
        <v>10</v>
      </c>
      <c r="F17" s="3">
        <f t="shared" si="11"/>
        <v>13</v>
      </c>
      <c r="G17" s="3">
        <f t="shared" si="9"/>
        <v>13</v>
      </c>
      <c r="H17" s="3">
        <f t="shared" si="13"/>
        <v>15</v>
      </c>
      <c r="I17" s="57" t="str">
        <f t="shared" ref="I17:AI17" si="19">IF(I$2&lt;$E17,"",IF(I$2&lt;$F17,"D",IF(I$2&lt;$G17,"C-",IF(I$2&lt;=$H17,"C",""))))</f>
        <v/>
      </c>
      <c r="J17" s="57" t="str">
        <f t="shared" si="19"/>
        <v/>
      </c>
      <c r="K17" s="57" t="str">
        <f t="shared" si="19"/>
        <v/>
      </c>
      <c r="L17" s="57" t="str">
        <f t="shared" si="19"/>
        <v/>
      </c>
      <c r="M17" s="57" t="str">
        <f t="shared" si="19"/>
        <v/>
      </c>
      <c r="N17" s="57" t="str">
        <f t="shared" si="19"/>
        <v/>
      </c>
      <c r="O17" s="57" t="str">
        <f t="shared" si="19"/>
        <v/>
      </c>
      <c r="P17" s="57" t="str">
        <f t="shared" si="19"/>
        <v/>
      </c>
      <c r="Q17" s="57" t="str">
        <f t="shared" si="19"/>
        <v/>
      </c>
      <c r="R17" s="57" t="str">
        <f t="shared" si="19"/>
        <v>D</v>
      </c>
      <c r="S17" s="57" t="str">
        <f t="shared" si="19"/>
        <v>D</v>
      </c>
      <c r="T17" s="57" t="str">
        <f t="shared" si="19"/>
        <v>D</v>
      </c>
      <c r="U17" s="57" t="str">
        <f t="shared" si="19"/>
        <v>C</v>
      </c>
      <c r="V17" s="57" t="str">
        <f t="shared" si="19"/>
        <v>C</v>
      </c>
      <c r="W17" s="57" t="str">
        <f t="shared" si="19"/>
        <v>C</v>
      </c>
      <c r="X17" s="57" t="str">
        <f t="shared" si="19"/>
        <v/>
      </c>
      <c r="Y17" s="57" t="str">
        <f t="shared" si="19"/>
        <v/>
      </c>
      <c r="Z17" s="57" t="str">
        <f t="shared" si="19"/>
        <v/>
      </c>
      <c r="AA17" s="57" t="str">
        <f t="shared" si="19"/>
        <v/>
      </c>
      <c r="AB17" s="57" t="str">
        <f t="shared" si="19"/>
        <v/>
      </c>
      <c r="AC17" s="57" t="str">
        <f t="shared" si="19"/>
        <v/>
      </c>
      <c r="AD17" s="57" t="str">
        <f t="shared" si="19"/>
        <v/>
      </c>
      <c r="AE17" s="57" t="str">
        <f t="shared" si="19"/>
        <v/>
      </c>
      <c r="AF17" s="57" t="str">
        <f t="shared" si="19"/>
        <v/>
      </c>
      <c r="AG17" s="57" t="str">
        <f t="shared" si="19"/>
        <v/>
      </c>
      <c r="AH17" s="57" t="str">
        <f t="shared" si="19"/>
        <v/>
      </c>
      <c r="AI17" s="57" t="str">
        <f t="shared" si="19"/>
        <v/>
      </c>
    </row>
    <row r="18" spans="1:35" ht="15.75" customHeight="1" x14ac:dyDescent="0.15">
      <c r="A18" s="3" t="s">
        <v>131</v>
      </c>
      <c r="B18" s="3">
        <v>5</v>
      </c>
      <c r="E18" s="3">
        <v>11</v>
      </c>
      <c r="F18" s="3">
        <f t="shared" si="11"/>
        <v>14</v>
      </c>
      <c r="G18" s="3">
        <f t="shared" si="9"/>
        <v>14</v>
      </c>
      <c r="H18" s="3">
        <f t="shared" si="13"/>
        <v>16</v>
      </c>
      <c r="I18" s="57" t="str">
        <f t="shared" ref="I18:AI18" si="20">IF(I$2&lt;$E18,"",IF(I$2&lt;$F18,"D",IF(I$2&lt;$G18,"C-",IF(I$2&lt;=$H18,"C",""))))</f>
        <v/>
      </c>
      <c r="J18" s="57" t="str">
        <f t="shared" si="20"/>
        <v/>
      </c>
      <c r="K18" s="57" t="str">
        <f t="shared" si="20"/>
        <v/>
      </c>
      <c r="L18" s="57" t="str">
        <f t="shared" si="20"/>
        <v/>
      </c>
      <c r="M18" s="57" t="str">
        <f t="shared" si="20"/>
        <v/>
      </c>
      <c r="N18" s="57" t="str">
        <f t="shared" si="20"/>
        <v/>
      </c>
      <c r="O18" s="57" t="str">
        <f t="shared" si="20"/>
        <v/>
      </c>
      <c r="P18" s="57" t="str">
        <f t="shared" si="20"/>
        <v/>
      </c>
      <c r="Q18" s="57" t="str">
        <f t="shared" si="20"/>
        <v/>
      </c>
      <c r="R18" s="57" t="str">
        <f t="shared" si="20"/>
        <v/>
      </c>
      <c r="S18" s="57" t="str">
        <f t="shared" si="20"/>
        <v>D</v>
      </c>
      <c r="T18" s="57" t="str">
        <f t="shared" si="20"/>
        <v>D</v>
      </c>
      <c r="U18" s="57" t="str">
        <f t="shared" si="20"/>
        <v>D</v>
      </c>
      <c r="V18" s="57" t="str">
        <f t="shared" si="20"/>
        <v>C</v>
      </c>
      <c r="W18" s="57" t="str">
        <f t="shared" si="20"/>
        <v>C</v>
      </c>
      <c r="X18" s="57" t="str">
        <f t="shared" si="20"/>
        <v>C</v>
      </c>
      <c r="Y18" s="57" t="str">
        <f t="shared" si="20"/>
        <v/>
      </c>
      <c r="Z18" s="57" t="str">
        <f t="shared" si="20"/>
        <v/>
      </c>
      <c r="AA18" s="57" t="str">
        <f t="shared" si="20"/>
        <v/>
      </c>
      <c r="AB18" s="57" t="str">
        <f t="shared" si="20"/>
        <v/>
      </c>
      <c r="AC18" s="57" t="str">
        <f t="shared" si="20"/>
        <v/>
      </c>
      <c r="AD18" s="57" t="str">
        <f t="shared" si="20"/>
        <v/>
      </c>
      <c r="AE18" s="57" t="str">
        <f t="shared" si="20"/>
        <v/>
      </c>
      <c r="AF18" s="57" t="str">
        <f t="shared" si="20"/>
        <v/>
      </c>
      <c r="AG18" s="57" t="str">
        <f t="shared" si="20"/>
        <v/>
      </c>
      <c r="AH18" s="57" t="str">
        <f t="shared" si="20"/>
        <v/>
      </c>
      <c r="AI18" s="57" t="str">
        <f t="shared" si="20"/>
        <v/>
      </c>
    </row>
    <row r="19" spans="1:35" ht="15.75" customHeight="1" x14ac:dyDescent="0.15">
      <c r="A19" s="3" t="s">
        <v>132</v>
      </c>
      <c r="B19" s="3">
        <v>10</v>
      </c>
      <c r="E19" s="3">
        <v>12</v>
      </c>
      <c r="F19" s="3">
        <f t="shared" si="11"/>
        <v>15</v>
      </c>
      <c r="G19" s="3">
        <f t="shared" si="9"/>
        <v>15</v>
      </c>
      <c r="H19" s="3">
        <f t="shared" si="13"/>
        <v>17</v>
      </c>
      <c r="I19" s="57" t="str">
        <f t="shared" ref="I19:AI19" si="21">IF(I$2&lt;$E19,"",IF(I$2&lt;$F19,"D",IF(I$2&lt;$G19,"C-",IF(I$2&lt;=$H19,"C",""))))</f>
        <v/>
      </c>
      <c r="J19" s="57" t="str">
        <f t="shared" si="21"/>
        <v/>
      </c>
      <c r="K19" s="57" t="str">
        <f t="shared" si="21"/>
        <v/>
      </c>
      <c r="L19" s="57" t="str">
        <f t="shared" si="21"/>
        <v/>
      </c>
      <c r="M19" s="57" t="str">
        <f t="shared" si="21"/>
        <v/>
      </c>
      <c r="N19" s="57" t="str">
        <f t="shared" si="21"/>
        <v/>
      </c>
      <c r="O19" s="57" t="str">
        <f t="shared" si="21"/>
        <v/>
      </c>
      <c r="P19" s="57" t="str">
        <f t="shared" si="21"/>
        <v/>
      </c>
      <c r="Q19" s="57" t="str">
        <f t="shared" si="21"/>
        <v/>
      </c>
      <c r="R19" s="57" t="str">
        <f t="shared" si="21"/>
        <v/>
      </c>
      <c r="S19" s="57" t="str">
        <f t="shared" si="21"/>
        <v/>
      </c>
      <c r="T19" s="57" t="str">
        <f t="shared" si="21"/>
        <v>D</v>
      </c>
      <c r="U19" s="57" t="str">
        <f t="shared" si="21"/>
        <v>D</v>
      </c>
      <c r="V19" s="57" t="str">
        <f t="shared" si="21"/>
        <v>D</v>
      </c>
      <c r="W19" s="57" t="str">
        <f t="shared" si="21"/>
        <v>C</v>
      </c>
      <c r="X19" s="57" t="str">
        <f t="shared" si="21"/>
        <v>C</v>
      </c>
      <c r="Y19" s="57" t="str">
        <f t="shared" si="21"/>
        <v>C</v>
      </c>
      <c r="Z19" s="57" t="str">
        <f t="shared" si="21"/>
        <v/>
      </c>
      <c r="AA19" s="57" t="str">
        <f t="shared" si="21"/>
        <v/>
      </c>
      <c r="AB19" s="57" t="str">
        <f t="shared" si="21"/>
        <v/>
      </c>
      <c r="AC19" s="57" t="str">
        <f t="shared" si="21"/>
        <v/>
      </c>
      <c r="AD19" s="57" t="str">
        <f t="shared" si="21"/>
        <v/>
      </c>
      <c r="AE19" s="57" t="str">
        <f t="shared" si="21"/>
        <v/>
      </c>
      <c r="AF19" s="57" t="str">
        <f t="shared" si="21"/>
        <v/>
      </c>
      <c r="AG19" s="57" t="str">
        <f t="shared" si="21"/>
        <v/>
      </c>
      <c r="AH19" s="57" t="str">
        <f t="shared" si="21"/>
        <v/>
      </c>
      <c r="AI19" s="57" t="str">
        <f t="shared" si="21"/>
        <v/>
      </c>
    </row>
    <row r="21" spans="1:35" ht="15.75" customHeight="1" x14ac:dyDescent="0.15">
      <c r="A21" s="58" t="s">
        <v>11</v>
      </c>
      <c r="B21" s="58" t="s">
        <v>133</v>
      </c>
      <c r="C21" s="58" t="s">
        <v>134</v>
      </c>
      <c r="D21" s="58"/>
      <c r="E21" s="58" t="s">
        <v>135</v>
      </c>
      <c r="F21" s="58" t="s">
        <v>136</v>
      </c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8"/>
      <c r="AI21" s="58"/>
    </row>
    <row r="22" spans="1:35" ht="15.75" customHeight="1" outlineLevel="1" x14ac:dyDescent="0.15">
      <c r="A22" s="3" t="s">
        <v>122</v>
      </c>
      <c r="B22" s="3">
        <v>4</v>
      </c>
      <c r="C22" s="3">
        <v>10</v>
      </c>
      <c r="E22" s="59">
        <f t="shared" ref="E22:E26" si="22">SUM(I22:AI22)</f>
        <v>30.500316504784692</v>
      </c>
      <c r="F22" s="59">
        <f t="shared" ref="F22:F26" si="23">E22/B22</f>
        <v>7.625079126196173</v>
      </c>
      <c r="K22" s="59">
        <f>'Sample DEC'!J58</f>
        <v>15.250158252392342</v>
      </c>
      <c r="N22" s="59">
        <f>'Sample DEC'!M58</f>
        <v>12.650126601913879</v>
      </c>
      <c r="S22" s="59">
        <f>'Sample DEC'!R58</f>
        <v>2.6000316504784697</v>
      </c>
      <c r="U22" s="3">
        <f>'Sample DEC'!T58</f>
        <v>0</v>
      </c>
      <c r="V22" s="3">
        <f>'Sample DEC'!U58</f>
        <v>0</v>
      </c>
      <c r="AF22" s="3">
        <f>'Sample DEC'!V58</f>
        <v>0</v>
      </c>
      <c r="AG22" s="3">
        <f>'Sample DEC'!W58</f>
        <v>0</v>
      </c>
      <c r="AH22" s="3">
        <f>'Sample DEC'!X58</f>
        <v>0</v>
      </c>
      <c r="AI22" s="3">
        <f>'Sample DEC'!Y58</f>
        <v>0</v>
      </c>
    </row>
    <row r="23" spans="1:35" ht="15.75" customHeight="1" outlineLevel="1" x14ac:dyDescent="0.15">
      <c r="A23" s="3" t="s">
        <v>124</v>
      </c>
      <c r="B23" s="3">
        <v>4</v>
      </c>
      <c r="C23" s="3">
        <v>9</v>
      </c>
      <c r="E23" s="59">
        <f t="shared" si="22"/>
        <v>30.500316504784692</v>
      </c>
      <c r="F23" s="59">
        <f t="shared" si="23"/>
        <v>7.625079126196173</v>
      </c>
      <c r="M23" s="59">
        <f>K22</f>
        <v>15.250158252392342</v>
      </c>
      <c r="R23" s="59">
        <f>N22</f>
        <v>12.650126601913879</v>
      </c>
      <c r="Y23" s="59">
        <f>S22</f>
        <v>2.6000316504784697</v>
      </c>
    </row>
    <row r="24" spans="1:35" ht="15.75" customHeight="1" outlineLevel="1" x14ac:dyDescent="0.15">
      <c r="A24" s="3" t="s">
        <v>116</v>
      </c>
      <c r="B24" s="3">
        <v>4</v>
      </c>
      <c r="C24" s="3">
        <v>9</v>
      </c>
      <c r="E24" s="59">
        <f t="shared" si="22"/>
        <v>30.500316504784692</v>
      </c>
      <c r="F24" s="59">
        <f t="shared" si="23"/>
        <v>7.625079126196173</v>
      </c>
      <c r="P24" s="59">
        <f>K22</f>
        <v>15.250158252392342</v>
      </c>
      <c r="T24" s="59"/>
      <c r="V24" s="59">
        <f>N22</f>
        <v>12.650126601913879</v>
      </c>
      <c r="AD24" s="59">
        <f>S22</f>
        <v>2.6000316504784697</v>
      </c>
    </row>
    <row r="25" spans="1:35" ht="15.75" customHeight="1" outlineLevel="1" x14ac:dyDescent="0.15">
      <c r="A25" s="3" t="s">
        <v>118</v>
      </c>
      <c r="B25" s="3">
        <v>8</v>
      </c>
      <c r="C25" s="3">
        <v>9</v>
      </c>
      <c r="E25" s="59">
        <f t="shared" si="22"/>
        <v>61.000633009569384</v>
      </c>
      <c r="F25" s="59">
        <f t="shared" si="23"/>
        <v>7.625079126196173</v>
      </c>
      <c r="T25" s="59">
        <f>P24*2</f>
        <v>30.500316504784685</v>
      </c>
      <c r="Z25" s="3">
        <f>N22*2</f>
        <v>25.300253203827758</v>
      </c>
      <c r="AF25" s="59">
        <f t="shared" ref="AF25:AF26" si="24">$S$22*2</f>
        <v>5.2000633009569395</v>
      </c>
    </row>
    <row r="26" spans="1:35" ht="15.75" customHeight="1" outlineLevel="1" x14ac:dyDescent="0.15">
      <c r="A26" s="3" t="s">
        <v>119</v>
      </c>
      <c r="B26" s="3">
        <v>8</v>
      </c>
      <c r="C26" s="3">
        <v>9</v>
      </c>
      <c r="E26" s="59">
        <f t="shared" si="22"/>
        <v>61.000633009569384</v>
      </c>
      <c r="F26" s="59">
        <f t="shared" si="23"/>
        <v>7.625079126196173</v>
      </c>
      <c r="T26" s="59">
        <f>T25</f>
        <v>30.500316504784685</v>
      </c>
      <c r="Z26" s="3">
        <f>N22*2</f>
        <v>25.300253203827758</v>
      </c>
      <c r="AF26" s="59">
        <f t="shared" si="24"/>
        <v>5.2000633009569395</v>
      </c>
    </row>
    <row r="27" spans="1:35" outlineLevel="1" x14ac:dyDescent="0.2">
      <c r="C27" s="60"/>
      <c r="D27" s="60"/>
      <c r="E27" s="61"/>
      <c r="F27" s="60"/>
      <c r="G27" s="60"/>
      <c r="H27" s="60"/>
    </row>
    <row r="28" spans="1:35" ht="15.75" customHeight="1" outlineLevel="1" x14ac:dyDescent="0.15">
      <c r="A28" s="3" t="s">
        <v>121</v>
      </c>
      <c r="B28" s="3">
        <v>5</v>
      </c>
      <c r="C28" s="3">
        <v>0.2</v>
      </c>
      <c r="E28" s="59">
        <f t="shared" ref="E28:E37" si="25">SUM(I28:AI28)</f>
        <v>2.511552</v>
      </c>
      <c r="F28" s="59">
        <f t="shared" ref="F28:F37" si="26">E28/B28</f>
        <v>0.50231040000000005</v>
      </c>
      <c r="J28" s="59">
        <f>'Sample BESS'!K21</f>
        <v>2.2723968000000001</v>
      </c>
      <c r="O28" s="59">
        <f>'Sample BESS'!P21</f>
        <v>0.23915520000000001</v>
      </c>
    </row>
    <row r="29" spans="1:35" ht="15.75" customHeight="1" outlineLevel="1" x14ac:dyDescent="0.15">
      <c r="A29" s="3" t="s">
        <v>123</v>
      </c>
      <c r="B29" s="3">
        <v>5</v>
      </c>
      <c r="C29" s="3">
        <v>0.2</v>
      </c>
      <c r="E29" s="59">
        <f t="shared" si="25"/>
        <v>2.511552</v>
      </c>
      <c r="F29" s="59">
        <f t="shared" si="26"/>
        <v>0.50231040000000005</v>
      </c>
      <c r="K29" s="59">
        <f>J28</f>
        <v>2.2723968000000001</v>
      </c>
      <c r="P29" s="59">
        <f>O28</f>
        <v>0.23915520000000001</v>
      </c>
    </row>
    <row r="30" spans="1:35" ht="15.75" customHeight="1" outlineLevel="1" x14ac:dyDescent="0.15">
      <c r="A30" s="3" t="s">
        <v>125</v>
      </c>
      <c r="B30" s="3">
        <v>5</v>
      </c>
      <c r="C30" s="3">
        <v>0.2</v>
      </c>
      <c r="E30" s="59">
        <f t="shared" si="25"/>
        <v>2.511552</v>
      </c>
      <c r="F30" s="59">
        <f t="shared" si="26"/>
        <v>0.50231040000000005</v>
      </c>
      <c r="M30" s="59">
        <f>$J$28</f>
        <v>2.2723968000000001</v>
      </c>
      <c r="R30" s="59">
        <f>$O$28</f>
        <v>0.23915520000000001</v>
      </c>
    </row>
    <row r="31" spans="1:35" ht="15.75" customHeight="1" outlineLevel="1" x14ac:dyDescent="0.15">
      <c r="A31" s="3" t="s">
        <v>126</v>
      </c>
      <c r="B31" s="3">
        <v>10</v>
      </c>
      <c r="C31" s="3">
        <v>0.2</v>
      </c>
      <c r="E31" s="59">
        <f t="shared" si="25"/>
        <v>5.023104</v>
      </c>
      <c r="F31" s="59">
        <f t="shared" si="26"/>
        <v>0.50231040000000005</v>
      </c>
      <c r="N31" s="59">
        <f>$J$28*2</f>
        <v>4.5447936000000002</v>
      </c>
      <c r="O31" s="59"/>
      <c r="P31" s="59"/>
      <c r="Q31" s="59"/>
      <c r="R31" s="59"/>
      <c r="S31" s="59">
        <f>$O$28*2</f>
        <v>0.47831040000000002</v>
      </c>
    </row>
    <row r="32" spans="1:35" ht="15.75" customHeight="1" outlineLevel="1" x14ac:dyDescent="0.15">
      <c r="A32" s="3" t="s">
        <v>127</v>
      </c>
      <c r="B32" s="3">
        <v>10</v>
      </c>
      <c r="C32" s="3">
        <v>0.2</v>
      </c>
      <c r="E32" s="59">
        <f t="shared" si="25"/>
        <v>5.023104</v>
      </c>
      <c r="F32" s="59">
        <f t="shared" si="26"/>
        <v>0.50231040000000005</v>
      </c>
      <c r="O32" s="59">
        <f>$J$28*2</f>
        <v>4.5447936000000002</v>
      </c>
      <c r="P32" s="59"/>
      <c r="Q32" s="59"/>
      <c r="R32" s="59"/>
      <c r="S32" s="59"/>
      <c r="T32" s="59">
        <f>$O$28*2</f>
        <v>0.47831040000000002</v>
      </c>
    </row>
    <row r="33" spans="1:35" ht="15.75" customHeight="1" outlineLevel="1" x14ac:dyDescent="0.15">
      <c r="A33" s="3" t="s">
        <v>128</v>
      </c>
      <c r="B33" s="3">
        <v>5</v>
      </c>
      <c r="C33" s="3">
        <v>0.2</v>
      </c>
      <c r="E33" s="59">
        <f t="shared" si="25"/>
        <v>2.511552</v>
      </c>
      <c r="F33" s="59">
        <f t="shared" si="26"/>
        <v>0.50231040000000005</v>
      </c>
      <c r="P33" s="59">
        <f>$J$28</f>
        <v>2.2723968000000001</v>
      </c>
      <c r="U33" s="59">
        <f>$O$28</f>
        <v>0.23915520000000001</v>
      </c>
    </row>
    <row r="34" spans="1:35" ht="15.75" customHeight="1" outlineLevel="1" x14ac:dyDescent="0.15">
      <c r="A34" s="3" t="s">
        <v>129</v>
      </c>
      <c r="B34" s="3">
        <v>10</v>
      </c>
      <c r="C34" s="3">
        <v>0.2</v>
      </c>
      <c r="E34" s="59">
        <f t="shared" si="25"/>
        <v>5.023104</v>
      </c>
      <c r="F34" s="59">
        <f t="shared" si="26"/>
        <v>0.50231040000000005</v>
      </c>
      <c r="Q34" s="59">
        <f>$J$28*2</f>
        <v>4.5447936000000002</v>
      </c>
      <c r="R34" s="59"/>
      <c r="S34" s="59"/>
      <c r="T34" s="59"/>
      <c r="U34" s="59"/>
      <c r="V34" s="59">
        <f>$O$28*2</f>
        <v>0.47831040000000002</v>
      </c>
    </row>
    <row r="35" spans="1:35" ht="15.75" customHeight="1" outlineLevel="1" x14ac:dyDescent="0.15">
      <c r="A35" s="3" t="s">
        <v>130</v>
      </c>
      <c r="B35" s="3">
        <v>10</v>
      </c>
      <c r="C35" s="3">
        <v>0.2</v>
      </c>
      <c r="E35" s="59">
        <f t="shared" si="25"/>
        <v>5.023104</v>
      </c>
      <c r="F35" s="59">
        <f t="shared" si="26"/>
        <v>0.50231040000000005</v>
      </c>
      <c r="R35" s="59">
        <f>$J$28*2</f>
        <v>4.5447936000000002</v>
      </c>
      <c r="S35" s="59"/>
      <c r="T35" s="59"/>
      <c r="U35" s="59"/>
      <c r="V35" s="59"/>
      <c r="W35" s="59">
        <f>$O$28*2</f>
        <v>0.47831040000000002</v>
      </c>
    </row>
    <row r="36" spans="1:35" ht="15.75" customHeight="1" outlineLevel="1" x14ac:dyDescent="0.15">
      <c r="A36" s="3" t="s">
        <v>131</v>
      </c>
      <c r="B36" s="3">
        <v>5</v>
      </c>
      <c r="C36" s="3">
        <v>0.2</v>
      </c>
      <c r="E36" s="59">
        <f t="shared" si="25"/>
        <v>2.511552</v>
      </c>
      <c r="F36" s="59">
        <f t="shared" si="26"/>
        <v>0.50231040000000005</v>
      </c>
      <c r="S36" s="59">
        <f>$J$28</f>
        <v>2.2723968000000001</v>
      </c>
      <c r="X36" s="59">
        <f>$O$28</f>
        <v>0.23915520000000001</v>
      </c>
    </row>
    <row r="37" spans="1:35" ht="15.75" customHeight="1" outlineLevel="1" x14ac:dyDescent="0.15">
      <c r="A37" s="3" t="s">
        <v>132</v>
      </c>
      <c r="B37" s="3">
        <v>10</v>
      </c>
      <c r="C37" s="3">
        <v>0.2</v>
      </c>
      <c r="E37" s="59">
        <f t="shared" si="25"/>
        <v>5.023104</v>
      </c>
      <c r="F37" s="59">
        <f t="shared" si="26"/>
        <v>0.50231040000000005</v>
      </c>
      <c r="T37" s="59">
        <f>$J$28*2</f>
        <v>4.5447936000000002</v>
      </c>
      <c r="U37" s="59"/>
      <c r="V37" s="59"/>
      <c r="W37" s="59"/>
      <c r="X37" s="59"/>
      <c r="Y37" s="59">
        <f>$O$28*2</f>
        <v>0.47831040000000002</v>
      </c>
    </row>
    <row r="38" spans="1:35" ht="15.75" customHeight="1" outlineLevel="1" x14ac:dyDescent="0.15"/>
    <row r="39" spans="1:35" ht="15.75" customHeight="1" outlineLevel="1" x14ac:dyDescent="0.15"/>
    <row r="40" spans="1:35" ht="15.75" customHeight="1" x14ac:dyDescent="0.15">
      <c r="A40" s="3" t="s">
        <v>137</v>
      </c>
      <c r="I40" s="62">
        <f t="shared" ref="I40:AI40" si="27">SUM(I22:I26)</f>
        <v>0</v>
      </c>
      <c r="J40" s="62">
        <f t="shared" si="27"/>
        <v>0</v>
      </c>
      <c r="K40" s="62">
        <f t="shared" si="27"/>
        <v>15.250158252392342</v>
      </c>
      <c r="L40" s="62">
        <f t="shared" si="27"/>
        <v>0</v>
      </c>
      <c r="M40" s="62">
        <f t="shared" si="27"/>
        <v>15.250158252392342</v>
      </c>
      <c r="N40" s="62">
        <f t="shared" si="27"/>
        <v>12.650126601913879</v>
      </c>
      <c r="O40" s="62">
        <f t="shared" si="27"/>
        <v>0</v>
      </c>
      <c r="P40" s="62">
        <f t="shared" si="27"/>
        <v>15.250158252392342</v>
      </c>
      <c r="Q40" s="62">
        <f t="shared" si="27"/>
        <v>0</v>
      </c>
      <c r="R40" s="62">
        <f t="shared" si="27"/>
        <v>12.650126601913879</v>
      </c>
      <c r="S40" s="62">
        <f t="shared" si="27"/>
        <v>2.6000316504784697</v>
      </c>
      <c r="T40" s="62">
        <f t="shared" si="27"/>
        <v>61.00063300956937</v>
      </c>
      <c r="U40" s="62">
        <f t="shared" si="27"/>
        <v>0</v>
      </c>
      <c r="V40" s="62">
        <f t="shared" si="27"/>
        <v>12.650126601913879</v>
      </c>
      <c r="W40" s="62">
        <f t="shared" si="27"/>
        <v>0</v>
      </c>
      <c r="X40" s="62">
        <f t="shared" si="27"/>
        <v>0</v>
      </c>
      <c r="Y40" s="62">
        <f t="shared" si="27"/>
        <v>2.6000316504784697</v>
      </c>
      <c r="Z40" s="62">
        <f t="shared" si="27"/>
        <v>50.600506407655516</v>
      </c>
      <c r="AA40" s="62">
        <f t="shared" si="27"/>
        <v>0</v>
      </c>
      <c r="AB40" s="62">
        <f t="shared" si="27"/>
        <v>0</v>
      </c>
      <c r="AC40" s="62">
        <f t="shared" si="27"/>
        <v>0</v>
      </c>
      <c r="AD40" s="62">
        <f t="shared" si="27"/>
        <v>2.6000316504784697</v>
      </c>
      <c r="AE40" s="62">
        <f t="shared" si="27"/>
        <v>0</v>
      </c>
      <c r="AF40" s="62">
        <f t="shared" si="27"/>
        <v>10.400126601913879</v>
      </c>
      <c r="AG40" s="62">
        <f t="shared" si="27"/>
        <v>0</v>
      </c>
      <c r="AH40" s="62">
        <f t="shared" si="27"/>
        <v>0</v>
      </c>
      <c r="AI40" s="62">
        <f t="shared" si="27"/>
        <v>0</v>
      </c>
    </row>
    <row r="41" spans="1:35" ht="15.75" customHeight="1" x14ac:dyDescent="0.15">
      <c r="A41" s="3" t="s">
        <v>138</v>
      </c>
      <c r="I41" s="62">
        <f t="shared" ref="I41:AI41" si="28">SUM(I28:I37)</f>
        <v>0</v>
      </c>
      <c r="J41" s="62">
        <f t="shared" si="28"/>
        <v>2.2723968000000001</v>
      </c>
      <c r="K41" s="62">
        <f t="shared" si="28"/>
        <v>2.2723968000000001</v>
      </c>
      <c r="L41" s="62">
        <f t="shared" si="28"/>
        <v>0</v>
      </c>
      <c r="M41" s="62">
        <f t="shared" si="28"/>
        <v>2.2723968000000001</v>
      </c>
      <c r="N41" s="62">
        <f t="shared" si="28"/>
        <v>4.5447936000000002</v>
      </c>
      <c r="O41" s="62">
        <f t="shared" si="28"/>
        <v>4.7839488000000001</v>
      </c>
      <c r="P41" s="62">
        <f t="shared" si="28"/>
        <v>2.511552</v>
      </c>
      <c r="Q41" s="62">
        <f t="shared" si="28"/>
        <v>4.5447936000000002</v>
      </c>
      <c r="R41" s="62">
        <f t="shared" si="28"/>
        <v>4.7839488000000001</v>
      </c>
      <c r="S41" s="62">
        <f t="shared" si="28"/>
        <v>2.7507071999999999</v>
      </c>
      <c r="T41" s="62">
        <f t="shared" si="28"/>
        <v>5.023104</v>
      </c>
      <c r="U41" s="62">
        <f t="shared" si="28"/>
        <v>0.23915520000000001</v>
      </c>
      <c r="V41" s="62">
        <f t="shared" si="28"/>
        <v>0.47831040000000002</v>
      </c>
      <c r="W41" s="62">
        <f t="shared" si="28"/>
        <v>0.47831040000000002</v>
      </c>
      <c r="X41" s="62">
        <f t="shared" si="28"/>
        <v>0.23915520000000001</v>
      </c>
      <c r="Y41" s="62">
        <f t="shared" si="28"/>
        <v>0.47831040000000002</v>
      </c>
      <c r="Z41" s="62">
        <f t="shared" si="28"/>
        <v>0</v>
      </c>
      <c r="AA41" s="62">
        <f t="shared" si="28"/>
        <v>0</v>
      </c>
      <c r="AB41" s="62">
        <f t="shared" si="28"/>
        <v>0</v>
      </c>
      <c r="AC41" s="62">
        <f t="shared" si="28"/>
        <v>0</v>
      </c>
      <c r="AD41" s="62">
        <f t="shared" si="28"/>
        <v>0</v>
      </c>
      <c r="AE41" s="62">
        <f t="shared" si="28"/>
        <v>0</v>
      </c>
      <c r="AF41" s="62">
        <f t="shared" si="28"/>
        <v>0</v>
      </c>
      <c r="AG41" s="62">
        <f t="shared" si="28"/>
        <v>0</v>
      </c>
      <c r="AH41" s="62">
        <f t="shared" si="28"/>
        <v>0</v>
      </c>
      <c r="AI41" s="62">
        <f t="shared" si="28"/>
        <v>0</v>
      </c>
    </row>
    <row r="43" spans="1:35" ht="15.75" customHeight="1" x14ac:dyDescent="0.15">
      <c r="A43" s="63" t="s">
        <v>139</v>
      </c>
      <c r="B43" s="63"/>
      <c r="C43" s="63"/>
      <c r="D43" s="63"/>
      <c r="E43" s="63"/>
      <c r="F43" s="63" t="s">
        <v>140</v>
      </c>
      <c r="G43" s="63"/>
      <c r="H43" s="63"/>
      <c r="I43" s="64">
        <f t="shared" ref="I43:AI43" si="29">SUM(I40:I42)</f>
        <v>0</v>
      </c>
      <c r="J43" s="64">
        <f t="shared" si="29"/>
        <v>2.2723968000000001</v>
      </c>
      <c r="K43" s="64">
        <f t="shared" si="29"/>
        <v>17.522555052392342</v>
      </c>
      <c r="L43" s="64">
        <f t="shared" si="29"/>
        <v>0</v>
      </c>
      <c r="M43" s="64">
        <f t="shared" si="29"/>
        <v>17.522555052392342</v>
      </c>
      <c r="N43" s="64">
        <f t="shared" si="29"/>
        <v>17.194920201913881</v>
      </c>
      <c r="O43" s="64">
        <f t="shared" si="29"/>
        <v>4.7839488000000001</v>
      </c>
      <c r="P43" s="64">
        <f t="shared" si="29"/>
        <v>17.761710252392341</v>
      </c>
      <c r="Q43" s="64">
        <f t="shared" si="29"/>
        <v>4.5447936000000002</v>
      </c>
      <c r="R43" s="64">
        <f t="shared" si="29"/>
        <v>17.43407540191388</v>
      </c>
      <c r="S43" s="64">
        <f t="shared" si="29"/>
        <v>5.3507388504784696</v>
      </c>
      <c r="T43" s="64">
        <f t="shared" si="29"/>
        <v>66.023737009569373</v>
      </c>
      <c r="U43" s="64">
        <f t="shared" si="29"/>
        <v>0.23915520000000001</v>
      </c>
      <c r="V43" s="64">
        <f t="shared" si="29"/>
        <v>13.128437001913879</v>
      </c>
      <c r="W43" s="64">
        <f t="shared" si="29"/>
        <v>0.47831040000000002</v>
      </c>
      <c r="X43" s="64">
        <f t="shared" si="29"/>
        <v>0.23915520000000001</v>
      </c>
      <c r="Y43" s="64">
        <f t="shared" si="29"/>
        <v>3.0783420504784695</v>
      </c>
      <c r="Z43" s="64">
        <f t="shared" si="29"/>
        <v>50.600506407655516</v>
      </c>
      <c r="AA43" s="64">
        <f t="shared" si="29"/>
        <v>0</v>
      </c>
      <c r="AB43" s="64">
        <f t="shared" si="29"/>
        <v>0</v>
      </c>
      <c r="AC43" s="64">
        <f t="shared" si="29"/>
        <v>0</v>
      </c>
      <c r="AD43" s="64">
        <f t="shared" si="29"/>
        <v>2.6000316504784697</v>
      </c>
      <c r="AE43" s="64">
        <f t="shared" si="29"/>
        <v>0</v>
      </c>
      <c r="AF43" s="64">
        <f t="shared" si="29"/>
        <v>10.400126601913879</v>
      </c>
      <c r="AG43" s="64">
        <f t="shared" si="29"/>
        <v>0</v>
      </c>
      <c r="AH43" s="64">
        <f t="shared" si="29"/>
        <v>0</v>
      </c>
      <c r="AI43" s="64">
        <f t="shared" si="29"/>
        <v>0</v>
      </c>
    </row>
    <row r="45" spans="1:35" x14ac:dyDescent="0.2">
      <c r="A45" s="65" t="s">
        <v>141</v>
      </c>
      <c r="B45" s="66"/>
      <c r="C45" s="66"/>
      <c r="D45" s="66"/>
      <c r="E45" s="66"/>
      <c r="F45" s="66"/>
      <c r="G45" s="66"/>
      <c r="H45" s="66"/>
      <c r="I45" s="66"/>
      <c r="J45" s="66"/>
      <c r="K45" s="66"/>
      <c r="L45" s="66"/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  <c r="AA45" s="66"/>
      <c r="AB45" s="66"/>
      <c r="AC45" s="66"/>
      <c r="AD45" s="66"/>
      <c r="AE45" s="66"/>
      <c r="AF45" s="66"/>
      <c r="AG45" s="66"/>
      <c r="AH45" s="66"/>
      <c r="AI45" s="66"/>
    </row>
    <row r="46" spans="1:35" outlineLevel="1" x14ac:dyDescent="0.2">
      <c r="A46" s="10" t="s">
        <v>95</v>
      </c>
      <c r="B46" s="11"/>
      <c r="C46" s="56"/>
      <c r="D46" s="56"/>
      <c r="E46" s="56"/>
      <c r="F46" s="56"/>
      <c r="G46" s="56"/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  <c r="AA46" s="56"/>
      <c r="AB46" s="56"/>
      <c r="AC46" s="56"/>
      <c r="AD46" s="56"/>
      <c r="AE46" s="56"/>
      <c r="AF46" s="56"/>
      <c r="AG46" s="56"/>
      <c r="AH46" s="56"/>
      <c r="AI46" s="56"/>
    </row>
    <row r="47" spans="1:35" ht="15.75" customHeight="1" outlineLevel="1" x14ac:dyDescent="0.15">
      <c r="A47" s="51" t="s">
        <v>142</v>
      </c>
      <c r="B47" s="51"/>
      <c r="I47" s="3">
        <f t="shared" ref="I47:AI47" si="30">IF(I4&lt;&gt;"",1,0)+IF(I5&lt;&gt;"",1,0)+IF(I7&lt;&gt;"",1,0)+IF(I8&lt;&gt;"",1,0)</f>
        <v>2</v>
      </c>
      <c r="J47" s="3">
        <f t="shared" si="30"/>
        <v>2</v>
      </c>
      <c r="K47" s="3">
        <f t="shared" si="30"/>
        <v>2</v>
      </c>
      <c r="L47" s="3">
        <f t="shared" si="30"/>
        <v>2</v>
      </c>
      <c r="M47" s="3">
        <f t="shared" si="30"/>
        <v>2</v>
      </c>
      <c r="N47" s="3">
        <f t="shared" si="30"/>
        <v>4</v>
      </c>
      <c r="O47" s="3">
        <f t="shared" si="30"/>
        <v>4</v>
      </c>
      <c r="P47" s="3">
        <f t="shared" si="30"/>
        <v>4</v>
      </c>
      <c r="Q47" s="3">
        <f t="shared" si="30"/>
        <v>4</v>
      </c>
      <c r="R47" s="3">
        <f t="shared" si="30"/>
        <v>4</v>
      </c>
      <c r="S47" s="3">
        <f t="shared" si="30"/>
        <v>4</v>
      </c>
      <c r="T47" s="3">
        <f t="shared" si="30"/>
        <v>4</v>
      </c>
      <c r="U47" s="3">
        <f t="shared" si="30"/>
        <v>4</v>
      </c>
      <c r="V47" s="3">
        <f t="shared" si="30"/>
        <v>4</v>
      </c>
      <c r="W47" s="3">
        <f t="shared" si="30"/>
        <v>3</v>
      </c>
      <c r="X47" s="3">
        <f t="shared" si="30"/>
        <v>3</v>
      </c>
      <c r="Y47" s="3">
        <f t="shared" si="30"/>
        <v>3</v>
      </c>
      <c r="Z47" s="3">
        <f t="shared" si="30"/>
        <v>3</v>
      </c>
      <c r="AA47" s="3">
        <f t="shared" si="30"/>
        <v>3</v>
      </c>
      <c r="AB47" s="3">
        <f t="shared" si="30"/>
        <v>3</v>
      </c>
      <c r="AC47" s="3">
        <f t="shared" si="30"/>
        <v>2</v>
      </c>
      <c r="AD47" s="3">
        <f t="shared" si="30"/>
        <v>2</v>
      </c>
      <c r="AE47" s="3">
        <f t="shared" si="30"/>
        <v>2</v>
      </c>
      <c r="AF47" s="3">
        <f t="shared" si="30"/>
        <v>2</v>
      </c>
      <c r="AG47" s="3">
        <f t="shared" si="30"/>
        <v>2</v>
      </c>
      <c r="AH47" s="3">
        <f t="shared" si="30"/>
        <v>2</v>
      </c>
      <c r="AI47" s="3">
        <f t="shared" si="30"/>
        <v>2</v>
      </c>
    </row>
    <row r="48" spans="1:35" ht="15.75" customHeight="1" outlineLevel="1" x14ac:dyDescent="0.15">
      <c r="A48" s="51" t="s">
        <v>2</v>
      </c>
      <c r="B48" s="51">
        <v>0.2</v>
      </c>
      <c r="I48" s="3">
        <f t="shared" ref="I48:AI48" si="31">I$47*$B48</f>
        <v>0.4</v>
      </c>
      <c r="J48" s="3">
        <f t="shared" si="31"/>
        <v>0.4</v>
      </c>
      <c r="K48" s="3">
        <f t="shared" si="31"/>
        <v>0.4</v>
      </c>
      <c r="L48" s="3">
        <f t="shared" si="31"/>
        <v>0.4</v>
      </c>
      <c r="M48" s="3">
        <f t="shared" si="31"/>
        <v>0.4</v>
      </c>
      <c r="N48" s="3">
        <f t="shared" si="31"/>
        <v>0.8</v>
      </c>
      <c r="O48" s="3">
        <f t="shared" si="31"/>
        <v>0.8</v>
      </c>
      <c r="P48" s="3">
        <f t="shared" si="31"/>
        <v>0.8</v>
      </c>
      <c r="Q48" s="3">
        <f t="shared" si="31"/>
        <v>0.8</v>
      </c>
      <c r="R48" s="3">
        <f t="shared" si="31"/>
        <v>0.8</v>
      </c>
      <c r="S48" s="3">
        <f t="shared" si="31"/>
        <v>0.8</v>
      </c>
      <c r="T48" s="3">
        <f t="shared" si="31"/>
        <v>0.8</v>
      </c>
      <c r="U48" s="3">
        <f t="shared" si="31"/>
        <v>0.8</v>
      </c>
      <c r="V48" s="3">
        <f t="shared" si="31"/>
        <v>0.8</v>
      </c>
      <c r="W48" s="3">
        <f t="shared" si="31"/>
        <v>0.60000000000000009</v>
      </c>
      <c r="X48" s="3">
        <f t="shared" si="31"/>
        <v>0.60000000000000009</v>
      </c>
      <c r="Y48" s="3">
        <f t="shared" si="31"/>
        <v>0.60000000000000009</v>
      </c>
      <c r="Z48" s="3">
        <f t="shared" si="31"/>
        <v>0.60000000000000009</v>
      </c>
      <c r="AA48" s="3">
        <f t="shared" si="31"/>
        <v>0.60000000000000009</v>
      </c>
      <c r="AB48" s="3">
        <f t="shared" si="31"/>
        <v>0.60000000000000009</v>
      </c>
      <c r="AC48" s="3">
        <f t="shared" si="31"/>
        <v>0.4</v>
      </c>
      <c r="AD48" s="3">
        <f t="shared" si="31"/>
        <v>0.4</v>
      </c>
      <c r="AE48" s="3">
        <f t="shared" si="31"/>
        <v>0.4</v>
      </c>
      <c r="AF48" s="3">
        <f t="shared" si="31"/>
        <v>0.4</v>
      </c>
      <c r="AG48" s="3">
        <f t="shared" si="31"/>
        <v>0.4</v>
      </c>
      <c r="AH48" s="3">
        <f t="shared" si="31"/>
        <v>0.4</v>
      </c>
      <c r="AI48" s="3">
        <f t="shared" si="31"/>
        <v>0.4</v>
      </c>
    </row>
    <row r="49" spans="1:35" ht="15.75" customHeight="1" outlineLevel="1" x14ac:dyDescent="0.15">
      <c r="A49" s="51" t="s">
        <v>96</v>
      </c>
      <c r="B49" s="51">
        <v>1</v>
      </c>
      <c r="I49" s="3">
        <f t="shared" ref="I49:AI49" si="32">I$47*$B49</f>
        <v>2</v>
      </c>
      <c r="J49" s="3">
        <f t="shared" si="32"/>
        <v>2</v>
      </c>
      <c r="K49" s="3">
        <f t="shared" si="32"/>
        <v>2</v>
      </c>
      <c r="L49" s="3">
        <f t="shared" si="32"/>
        <v>2</v>
      </c>
      <c r="M49" s="3">
        <f t="shared" si="32"/>
        <v>2</v>
      </c>
      <c r="N49" s="3">
        <f t="shared" si="32"/>
        <v>4</v>
      </c>
      <c r="O49" s="3">
        <f t="shared" si="32"/>
        <v>4</v>
      </c>
      <c r="P49" s="3">
        <f t="shared" si="32"/>
        <v>4</v>
      </c>
      <c r="Q49" s="3">
        <f t="shared" si="32"/>
        <v>4</v>
      </c>
      <c r="R49" s="3">
        <f t="shared" si="32"/>
        <v>4</v>
      </c>
      <c r="S49" s="3">
        <f t="shared" si="32"/>
        <v>4</v>
      </c>
      <c r="T49" s="3">
        <f t="shared" si="32"/>
        <v>4</v>
      </c>
      <c r="U49" s="3">
        <f t="shared" si="32"/>
        <v>4</v>
      </c>
      <c r="V49" s="3">
        <f t="shared" si="32"/>
        <v>4</v>
      </c>
      <c r="W49" s="3">
        <f t="shared" si="32"/>
        <v>3</v>
      </c>
      <c r="X49" s="3">
        <f t="shared" si="32"/>
        <v>3</v>
      </c>
      <c r="Y49" s="3">
        <f t="shared" si="32"/>
        <v>3</v>
      </c>
      <c r="Z49" s="3">
        <f t="shared" si="32"/>
        <v>3</v>
      </c>
      <c r="AA49" s="3">
        <f t="shared" si="32"/>
        <v>3</v>
      </c>
      <c r="AB49" s="3">
        <f t="shared" si="32"/>
        <v>3</v>
      </c>
      <c r="AC49" s="3">
        <f t="shared" si="32"/>
        <v>2</v>
      </c>
      <c r="AD49" s="3">
        <f t="shared" si="32"/>
        <v>2</v>
      </c>
      <c r="AE49" s="3">
        <f t="shared" si="32"/>
        <v>2</v>
      </c>
      <c r="AF49" s="3">
        <f t="shared" si="32"/>
        <v>2</v>
      </c>
      <c r="AG49" s="3">
        <f t="shared" si="32"/>
        <v>2</v>
      </c>
      <c r="AH49" s="3">
        <f t="shared" si="32"/>
        <v>2</v>
      </c>
      <c r="AI49" s="3">
        <f t="shared" si="32"/>
        <v>2</v>
      </c>
    </row>
    <row r="50" spans="1:35" ht="15.75" customHeight="1" outlineLevel="1" x14ac:dyDescent="0.15">
      <c r="A50" s="51" t="s">
        <v>97</v>
      </c>
      <c r="B50" s="51">
        <v>1</v>
      </c>
      <c r="I50" s="3">
        <f t="shared" ref="I50:AI50" si="33">I$47*$B50</f>
        <v>2</v>
      </c>
      <c r="J50" s="3">
        <f t="shared" si="33"/>
        <v>2</v>
      </c>
      <c r="K50" s="3">
        <f t="shared" si="33"/>
        <v>2</v>
      </c>
      <c r="L50" s="3">
        <f t="shared" si="33"/>
        <v>2</v>
      </c>
      <c r="M50" s="3">
        <f t="shared" si="33"/>
        <v>2</v>
      </c>
      <c r="N50" s="3">
        <f t="shared" si="33"/>
        <v>4</v>
      </c>
      <c r="O50" s="3">
        <f t="shared" si="33"/>
        <v>4</v>
      </c>
      <c r="P50" s="3">
        <f t="shared" si="33"/>
        <v>4</v>
      </c>
      <c r="Q50" s="3">
        <f t="shared" si="33"/>
        <v>4</v>
      </c>
      <c r="R50" s="3">
        <f t="shared" si="33"/>
        <v>4</v>
      </c>
      <c r="S50" s="3">
        <f t="shared" si="33"/>
        <v>4</v>
      </c>
      <c r="T50" s="3">
        <f t="shared" si="33"/>
        <v>4</v>
      </c>
      <c r="U50" s="3">
        <f t="shared" si="33"/>
        <v>4</v>
      </c>
      <c r="V50" s="3">
        <f t="shared" si="33"/>
        <v>4</v>
      </c>
      <c r="W50" s="3">
        <f t="shared" si="33"/>
        <v>3</v>
      </c>
      <c r="X50" s="3">
        <f t="shared" si="33"/>
        <v>3</v>
      </c>
      <c r="Y50" s="3">
        <f t="shared" si="33"/>
        <v>3</v>
      </c>
      <c r="Z50" s="3">
        <f t="shared" si="33"/>
        <v>3</v>
      </c>
      <c r="AA50" s="3">
        <f t="shared" si="33"/>
        <v>3</v>
      </c>
      <c r="AB50" s="3">
        <f t="shared" si="33"/>
        <v>3</v>
      </c>
      <c r="AC50" s="3">
        <f t="shared" si="33"/>
        <v>2</v>
      </c>
      <c r="AD50" s="3">
        <f t="shared" si="33"/>
        <v>2</v>
      </c>
      <c r="AE50" s="3">
        <f t="shared" si="33"/>
        <v>2</v>
      </c>
      <c r="AF50" s="3">
        <f t="shared" si="33"/>
        <v>2</v>
      </c>
      <c r="AG50" s="3">
        <f t="shared" si="33"/>
        <v>2</v>
      </c>
      <c r="AH50" s="3">
        <f t="shared" si="33"/>
        <v>2</v>
      </c>
      <c r="AI50" s="3">
        <f t="shared" si="33"/>
        <v>2</v>
      </c>
    </row>
    <row r="51" spans="1:35" ht="15.75" customHeight="1" outlineLevel="1" x14ac:dyDescent="0.15">
      <c r="A51" s="51" t="s">
        <v>7</v>
      </c>
      <c r="B51" s="51">
        <v>1</v>
      </c>
      <c r="I51" s="3">
        <f t="shared" ref="I51:AI51" si="34">I$47*$B51</f>
        <v>2</v>
      </c>
      <c r="J51" s="3">
        <f t="shared" si="34"/>
        <v>2</v>
      </c>
      <c r="K51" s="3">
        <f t="shared" si="34"/>
        <v>2</v>
      </c>
      <c r="L51" s="3">
        <f t="shared" si="34"/>
        <v>2</v>
      </c>
      <c r="M51" s="3">
        <f t="shared" si="34"/>
        <v>2</v>
      </c>
      <c r="N51" s="3">
        <f t="shared" si="34"/>
        <v>4</v>
      </c>
      <c r="O51" s="3">
        <f t="shared" si="34"/>
        <v>4</v>
      </c>
      <c r="P51" s="3">
        <f t="shared" si="34"/>
        <v>4</v>
      </c>
      <c r="Q51" s="3">
        <f t="shared" si="34"/>
        <v>4</v>
      </c>
      <c r="R51" s="3">
        <f t="shared" si="34"/>
        <v>4</v>
      </c>
      <c r="S51" s="3">
        <f t="shared" si="34"/>
        <v>4</v>
      </c>
      <c r="T51" s="3">
        <f t="shared" si="34"/>
        <v>4</v>
      </c>
      <c r="U51" s="3">
        <f t="shared" si="34"/>
        <v>4</v>
      </c>
      <c r="V51" s="3">
        <f t="shared" si="34"/>
        <v>4</v>
      </c>
      <c r="W51" s="3">
        <f t="shared" si="34"/>
        <v>3</v>
      </c>
      <c r="X51" s="3">
        <f t="shared" si="34"/>
        <v>3</v>
      </c>
      <c r="Y51" s="3">
        <f t="shared" si="34"/>
        <v>3</v>
      </c>
      <c r="Z51" s="3">
        <f t="shared" si="34"/>
        <v>3</v>
      </c>
      <c r="AA51" s="3">
        <f t="shared" si="34"/>
        <v>3</v>
      </c>
      <c r="AB51" s="3">
        <f t="shared" si="34"/>
        <v>3</v>
      </c>
      <c r="AC51" s="3">
        <f t="shared" si="34"/>
        <v>2</v>
      </c>
      <c r="AD51" s="3">
        <f t="shared" si="34"/>
        <v>2</v>
      </c>
      <c r="AE51" s="3">
        <f t="shared" si="34"/>
        <v>2</v>
      </c>
      <c r="AF51" s="3">
        <f t="shared" si="34"/>
        <v>2</v>
      </c>
      <c r="AG51" s="3">
        <f t="shared" si="34"/>
        <v>2</v>
      </c>
      <c r="AH51" s="3">
        <f t="shared" si="34"/>
        <v>2</v>
      </c>
      <c r="AI51" s="3">
        <f t="shared" si="34"/>
        <v>2</v>
      </c>
    </row>
    <row r="52" spans="1:35" ht="15.75" customHeight="1" outlineLevel="1" x14ac:dyDescent="0.15">
      <c r="A52" s="51" t="s">
        <v>8</v>
      </c>
      <c r="B52" s="51">
        <v>0.5</v>
      </c>
      <c r="I52" s="3">
        <f t="shared" ref="I52:AI52" si="35">I$47*$B52</f>
        <v>1</v>
      </c>
      <c r="J52" s="3">
        <f t="shared" si="35"/>
        <v>1</v>
      </c>
      <c r="K52" s="3">
        <f t="shared" si="35"/>
        <v>1</v>
      </c>
      <c r="L52" s="3">
        <f t="shared" si="35"/>
        <v>1</v>
      </c>
      <c r="M52" s="3">
        <f t="shared" si="35"/>
        <v>1</v>
      </c>
      <c r="N52" s="3">
        <f t="shared" si="35"/>
        <v>2</v>
      </c>
      <c r="O52" s="3">
        <f t="shared" si="35"/>
        <v>2</v>
      </c>
      <c r="P52" s="3">
        <f t="shared" si="35"/>
        <v>2</v>
      </c>
      <c r="Q52" s="3">
        <f t="shared" si="35"/>
        <v>2</v>
      </c>
      <c r="R52" s="3">
        <f t="shared" si="35"/>
        <v>2</v>
      </c>
      <c r="S52" s="3">
        <f t="shared" si="35"/>
        <v>2</v>
      </c>
      <c r="T52" s="3">
        <f t="shared" si="35"/>
        <v>2</v>
      </c>
      <c r="U52" s="3">
        <f t="shared" si="35"/>
        <v>2</v>
      </c>
      <c r="V52" s="3">
        <f t="shared" si="35"/>
        <v>2</v>
      </c>
      <c r="W52" s="3">
        <f t="shared" si="35"/>
        <v>1.5</v>
      </c>
      <c r="X52" s="3">
        <f t="shared" si="35"/>
        <v>1.5</v>
      </c>
      <c r="Y52" s="3">
        <f t="shared" si="35"/>
        <v>1.5</v>
      </c>
      <c r="Z52" s="3">
        <f t="shared" si="35"/>
        <v>1.5</v>
      </c>
      <c r="AA52" s="3">
        <f t="shared" si="35"/>
        <v>1.5</v>
      </c>
      <c r="AB52" s="3">
        <f t="shared" si="35"/>
        <v>1.5</v>
      </c>
      <c r="AC52" s="3">
        <f t="shared" si="35"/>
        <v>1</v>
      </c>
      <c r="AD52" s="3">
        <f t="shared" si="35"/>
        <v>1</v>
      </c>
      <c r="AE52" s="3">
        <f t="shared" si="35"/>
        <v>1</v>
      </c>
      <c r="AF52" s="3">
        <f t="shared" si="35"/>
        <v>1</v>
      </c>
      <c r="AG52" s="3">
        <f t="shared" si="35"/>
        <v>1</v>
      </c>
      <c r="AH52" s="3">
        <f t="shared" si="35"/>
        <v>1</v>
      </c>
      <c r="AI52" s="3">
        <f t="shared" si="35"/>
        <v>1</v>
      </c>
    </row>
    <row r="53" spans="1:35" ht="15.75" customHeight="1" outlineLevel="1" x14ac:dyDescent="0.15">
      <c r="A53" s="3"/>
      <c r="B53" s="3"/>
    </row>
    <row r="54" spans="1:35" outlineLevel="1" x14ac:dyDescent="0.2">
      <c r="A54" s="10" t="s">
        <v>98</v>
      </c>
      <c r="B54" s="11"/>
    </row>
    <row r="55" spans="1:35" ht="15.75" customHeight="1" outlineLevel="1" x14ac:dyDescent="0.15">
      <c r="A55" s="51" t="s">
        <v>142</v>
      </c>
      <c r="B55" s="51"/>
      <c r="I55" s="3">
        <f t="shared" ref="I55:AI55" si="36">IF(I6&lt;&gt;"",1,0)</f>
        <v>0</v>
      </c>
      <c r="J55" s="3">
        <f t="shared" si="36"/>
        <v>1</v>
      </c>
      <c r="K55" s="3">
        <f t="shared" si="36"/>
        <v>1</v>
      </c>
      <c r="L55" s="3">
        <f t="shared" si="36"/>
        <v>1</v>
      </c>
      <c r="M55" s="3">
        <f t="shared" si="36"/>
        <v>1</v>
      </c>
      <c r="N55" s="3">
        <f t="shared" si="36"/>
        <v>1</v>
      </c>
      <c r="O55" s="3">
        <f t="shared" si="36"/>
        <v>1</v>
      </c>
      <c r="P55" s="3">
        <f t="shared" si="36"/>
        <v>1</v>
      </c>
      <c r="Q55" s="3">
        <f t="shared" si="36"/>
        <v>1</v>
      </c>
      <c r="R55" s="3">
        <f t="shared" si="36"/>
        <v>1</v>
      </c>
      <c r="S55" s="3">
        <f t="shared" si="36"/>
        <v>1</v>
      </c>
      <c r="T55" s="3">
        <f t="shared" si="36"/>
        <v>1</v>
      </c>
      <c r="U55" s="3">
        <f t="shared" si="36"/>
        <v>1</v>
      </c>
      <c r="V55" s="3">
        <f t="shared" si="36"/>
        <v>1</v>
      </c>
      <c r="W55" s="3">
        <f t="shared" si="36"/>
        <v>1</v>
      </c>
      <c r="X55" s="3">
        <f t="shared" si="36"/>
        <v>1</v>
      </c>
      <c r="Y55" s="3">
        <f t="shared" si="36"/>
        <v>1</v>
      </c>
      <c r="Z55" s="3">
        <f t="shared" si="36"/>
        <v>1</v>
      </c>
      <c r="AA55" s="3">
        <f t="shared" si="36"/>
        <v>1</v>
      </c>
      <c r="AB55" s="3">
        <f t="shared" si="36"/>
        <v>1</v>
      </c>
      <c r="AC55" s="3">
        <f t="shared" si="36"/>
        <v>1</v>
      </c>
      <c r="AD55" s="3">
        <f t="shared" si="36"/>
        <v>1</v>
      </c>
      <c r="AE55" s="3">
        <f t="shared" si="36"/>
        <v>1</v>
      </c>
      <c r="AF55" s="3">
        <f t="shared" si="36"/>
        <v>1</v>
      </c>
      <c r="AG55" s="3">
        <f t="shared" si="36"/>
        <v>1</v>
      </c>
      <c r="AH55" s="3">
        <f t="shared" si="36"/>
        <v>0</v>
      </c>
      <c r="AI55" s="3">
        <f t="shared" si="36"/>
        <v>0</v>
      </c>
    </row>
    <row r="56" spans="1:35" ht="15.75" customHeight="1" outlineLevel="1" x14ac:dyDescent="0.15">
      <c r="A56" s="51" t="s">
        <v>2</v>
      </c>
      <c r="B56" s="51">
        <v>0.5</v>
      </c>
      <c r="I56" s="3">
        <f t="shared" ref="I56:AI56" si="37">I$55*$B56</f>
        <v>0</v>
      </c>
      <c r="J56" s="3">
        <f t="shared" si="37"/>
        <v>0.5</v>
      </c>
      <c r="K56" s="3">
        <f t="shared" si="37"/>
        <v>0.5</v>
      </c>
      <c r="L56" s="3">
        <f t="shared" si="37"/>
        <v>0.5</v>
      </c>
      <c r="M56" s="3">
        <f t="shared" si="37"/>
        <v>0.5</v>
      </c>
      <c r="N56" s="3">
        <f t="shared" si="37"/>
        <v>0.5</v>
      </c>
      <c r="O56" s="3">
        <f t="shared" si="37"/>
        <v>0.5</v>
      </c>
      <c r="P56" s="3">
        <f t="shared" si="37"/>
        <v>0.5</v>
      </c>
      <c r="Q56" s="3">
        <f t="shared" si="37"/>
        <v>0.5</v>
      </c>
      <c r="R56" s="3">
        <f t="shared" si="37"/>
        <v>0.5</v>
      </c>
      <c r="S56" s="3">
        <f t="shared" si="37"/>
        <v>0.5</v>
      </c>
      <c r="T56" s="3">
        <f t="shared" si="37"/>
        <v>0.5</v>
      </c>
      <c r="U56" s="3">
        <f t="shared" si="37"/>
        <v>0.5</v>
      </c>
      <c r="V56" s="3">
        <f t="shared" si="37"/>
        <v>0.5</v>
      </c>
      <c r="W56" s="3">
        <f t="shared" si="37"/>
        <v>0.5</v>
      </c>
      <c r="X56" s="3">
        <f t="shared" si="37"/>
        <v>0.5</v>
      </c>
      <c r="Y56" s="3">
        <f t="shared" si="37"/>
        <v>0.5</v>
      </c>
      <c r="Z56" s="3">
        <f t="shared" si="37"/>
        <v>0.5</v>
      </c>
      <c r="AA56" s="3">
        <f t="shared" si="37"/>
        <v>0.5</v>
      </c>
      <c r="AB56" s="3">
        <f t="shared" si="37"/>
        <v>0.5</v>
      </c>
      <c r="AC56" s="3">
        <f t="shared" si="37"/>
        <v>0.5</v>
      </c>
      <c r="AD56" s="3">
        <f t="shared" si="37"/>
        <v>0.5</v>
      </c>
      <c r="AE56" s="3">
        <f t="shared" si="37"/>
        <v>0.5</v>
      </c>
      <c r="AF56" s="3">
        <f t="shared" si="37"/>
        <v>0.5</v>
      </c>
      <c r="AG56" s="3">
        <f t="shared" si="37"/>
        <v>0.5</v>
      </c>
      <c r="AH56" s="3">
        <f t="shared" si="37"/>
        <v>0</v>
      </c>
      <c r="AI56" s="3">
        <f t="shared" si="37"/>
        <v>0</v>
      </c>
    </row>
    <row r="57" spans="1:35" ht="15.75" customHeight="1" outlineLevel="1" x14ac:dyDescent="0.15">
      <c r="A57" s="51" t="s">
        <v>3</v>
      </c>
      <c r="B57" s="51">
        <v>1.5</v>
      </c>
      <c r="I57" s="3">
        <f t="shared" ref="I57:AI57" si="38">I$55*$B57</f>
        <v>0</v>
      </c>
      <c r="J57" s="3">
        <f t="shared" si="38"/>
        <v>1.5</v>
      </c>
      <c r="K57" s="3">
        <f t="shared" si="38"/>
        <v>1.5</v>
      </c>
      <c r="L57" s="3">
        <f t="shared" si="38"/>
        <v>1.5</v>
      </c>
      <c r="M57" s="3">
        <f t="shared" si="38"/>
        <v>1.5</v>
      </c>
      <c r="N57" s="3">
        <f t="shared" si="38"/>
        <v>1.5</v>
      </c>
      <c r="O57" s="3">
        <f t="shared" si="38"/>
        <v>1.5</v>
      </c>
      <c r="P57" s="3">
        <f t="shared" si="38"/>
        <v>1.5</v>
      </c>
      <c r="Q57" s="3">
        <f t="shared" si="38"/>
        <v>1.5</v>
      </c>
      <c r="R57" s="3">
        <f t="shared" si="38"/>
        <v>1.5</v>
      </c>
      <c r="S57" s="3">
        <f t="shared" si="38"/>
        <v>1.5</v>
      </c>
      <c r="T57" s="3">
        <f t="shared" si="38"/>
        <v>1.5</v>
      </c>
      <c r="U57" s="3">
        <f t="shared" si="38"/>
        <v>1.5</v>
      </c>
      <c r="V57" s="3">
        <f t="shared" si="38"/>
        <v>1.5</v>
      </c>
      <c r="W57" s="3">
        <f t="shared" si="38"/>
        <v>1.5</v>
      </c>
      <c r="X57" s="3">
        <f t="shared" si="38"/>
        <v>1.5</v>
      </c>
      <c r="Y57" s="3">
        <f t="shared" si="38"/>
        <v>1.5</v>
      </c>
      <c r="Z57" s="3">
        <f t="shared" si="38"/>
        <v>1.5</v>
      </c>
      <c r="AA57" s="3">
        <f t="shared" si="38"/>
        <v>1.5</v>
      </c>
      <c r="AB57" s="3">
        <f t="shared" si="38"/>
        <v>1.5</v>
      </c>
      <c r="AC57" s="3">
        <f t="shared" si="38"/>
        <v>1.5</v>
      </c>
      <c r="AD57" s="3">
        <f t="shared" si="38"/>
        <v>1.5</v>
      </c>
      <c r="AE57" s="3">
        <f t="shared" si="38"/>
        <v>1.5</v>
      </c>
      <c r="AF57" s="3">
        <f t="shared" si="38"/>
        <v>1.5</v>
      </c>
      <c r="AG57" s="3">
        <f t="shared" si="38"/>
        <v>1.5</v>
      </c>
      <c r="AH57" s="3">
        <f t="shared" si="38"/>
        <v>0</v>
      </c>
      <c r="AI57" s="3">
        <f t="shared" si="38"/>
        <v>0</v>
      </c>
    </row>
    <row r="58" spans="1:35" ht="15.75" customHeight="1" outlineLevel="1" x14ac:dyDescent="0.15">
      <c r="A58" s="51" t="s">
        <v>4</v>
      </c>
      <c r="B58" s="51">
        <v>1</v>
      </c>
      <c r="I58" s="3">
        <f t="shared" ref="I58:AI58" si="39">I$55*$B58</f>
        <v>0</v>
      </c>
      <c r="J58" s="3">
        <f t="shared" si="39"/>
        <v>1</v>
      </c>
      <c r="K58" s="3">
        <f t="shared" si="39"/>
        <v>1</v>
      </c>
      <c r="L58" s="3">
        <f t="shared" si="39"/>
        <v>1</v>
      </c>
      <c r="M58" s="3">
        <f t="shared" si="39"/>
        <v>1</v>
      </c>
      <c r="N58" s="3">
        <f t="shared" si="39"/>
        <v>1</v>
      </c>
      <c r="O58" s="3">
        <f t="shared" si="39"/>
        <v>1</v>
      </c>
      <c r="P58" s="3">
        <f t="shared" si="39"/>
        <v>1</v>
      </c>
      <c r="Q58" s="3">
        <f t="shared" si="39"/>
        <v>1</v>
      </c>
      <c r="R58" s="3">
        <f t="shared" si="39"/>
        <v>1</v>
      </c>
      <c r="S58" s="3">
        <f t="shared" si="39"/>
        <v>1</v>
      </c>
      <c r="T58" s="3">
        <f t="shared" si="39"/>
        <v>1</v>
      </c>
      <c r="U58" s="3">
        <f t="shared" si="39"/>
        <v>1</v>
      </c>
      <c r="V58" s="3">
        <f t="shared" si="39"/>
        <v>1</v>
      </c>
      <c r="W58" s="3">
        <f t="shared" si="39"/>
        <v>1</v>
      </c>
      <c r="X58" s="3">
        <f t="shared" si="39"/>
        <v>1</v>
      </c>
      <c r="Y58" s="3">
        <f t="shared" si="39"/>
        <v>1</v>
      </c>
      <c r="Z58" s="3">
        <f t="shared" si="39"/>
        <v>1</v>
      </c>
      <c r="AA58" s="3">
        <f t="shared" si="39"/>
        <v>1</v>
      </c>
      <c r="AB58" s="3">
        <f t="shared" si="39"/>
        <v>1</v>
      </c>
      <c r="AC58" s="3">
        <f t="shared" si="39"/>
        <v>1</v>
      </c>
      <c r="AD58" s="3">
        <f t="shared" si="39"/>
        <v>1</v>
      </c>
      <c r="AE58" s="3">
        <f t="shared" si="39"/>
        <v>1</v>
      </c>
      <c r="AF58" s="3">
        <f t="shared" si="39"/>
        <v>1</v>
      </c>
      <c r="AG58" s="3">
        <f t="shared" si="39"/>
        <v>1</v>
      </c>
      <c r="AH58" s="3">
        <f t="shared" si="39"/>
        <v>0</v>
      </c>
      <c r="AI58" s="3">
        <f t="shared" si="39"/>
        <v>0</v>
      </c>
    </row>
    <row r="59" spans="1:35" ht="15.75" customHeight="1" outlineLevel="1" x14ac:dyDescent="0.15">
      <c r="A59" s="51" t="s">
        <v>5</v>
      </c>
      <c r="B59" s="51">
        <v>1</v>
      </c>
      <c r="I59" s="3">
        <f t="shared" ref="I59:AI59" si="40">I$55*$B59</f>
        <v>0</v>
      </c>
      <c r="J59" s="3">
        <f t="shared" si="40"/>
        <v>1</v>
      </c>
      <c r="K59" s="3">
        <f t="shared" si="40"/>
        <v>1</v>
      </c>
      <c r="L59" s="3">
        <f t="shared" si="40"/>
        <v>1</v>
      </c>
      <c r="M59" s="3">
        <f t="shared" si="40"/>
        <v>1</v>
      </c>
      <c r="N59" s="3">
        <f t="shared" si="40"/>
        <v>1</v>
      </c>
      <c r="O59" s="3">
        <f t="shared" si="40"/>
        <v>1</v>
      </c>
      <c r="P59" s="3">
        <f t="shared" si="40"/>
        <v>1</v>
      </c>
      <c r="Q59" s="3">
        <f t="shared" si="40"/>
        <v>1</v>
      </c>
      <c r="R59" s="3">
        <f t="shared" si="40"/>
        <v>1</v>
      </c>
      <c r="S59" s="3">
        <f t="shared" si="40"/>
        <v>1</v>
      </c>
      <c r="T59" s="3">
        <f t="shared" si="40"/>
        <v>1</v>
      </c>
      <c r="U59" s="3">
        <f t="shared" si="40"/>
        <v>1</v>
      </c>
      <c r="V59" s="3">
        <f t="shared" si="40"/>
        <v>1</v>
      </c>
      <c r="W59" s="3">
        <f t="shared" si="40"/>
        <v>1</v>
      </c>
      <c r="X59" s="3">
        <f t="shared" si="40"/>
        <v>1</v>
      </c>
      <c r="Y59" s="3">
        <f t="shared" si="40"/>
        <v>1</v>
      </c>
      <c r="Z59" s="3">
        <f t="shared" si="40"/>
        <v>1</v>
      </c>
      <c r="AA59" s="3">
        <f t="shared" si="40"/>
        <v>1</v>
      </c>
      <c r="AB59" s="3">
        <f t="shared" si="40"/>
        <v>1</v>
      </c>
      <c r="AC59" s="3">
        <f t="shared" si="40"/>
        <v>1</v>
      </c>
      <c r="AD59" s="3">
        <f t="shared" si="40"/>
        <v>1</v>
      </c>
      <c r="AE59" s="3">
        <f t="shared" si="40"/>
        <v>1</v>
      </c>
      <c r="AF59" s="3">
        <f t="shared" si="40"/>
        <v>1</v>
      </c>
      <c r="AG59" s="3">
        <f t="shared" si="40"/>
        <v>1</v>
      </c>
      <c r="AH59" s="3">
        <f t="shared" si="40"/>
        <v>0</v>
      </c>
      <c r="AI59" s="3">
        <f t="shared" si="40"/>
        <v>0</v>
      </c>
    </row>
    <row r="60" spans="1:35" ht="15.75" customHeight="1" outlineLevel="1" x14ac:dyDescent="0.15">
      <c r="A60" s="51" t="s">
        <v>100</v>
      </c>
      <c r="B60" s="51">
        <v>1</v>
      </c>
      <c r="I60" s="3">
        <f t="shared" ref="I60:AI60" si="41">I$55*$B60</f>
        <v>0</v>
      </c>
      <c r="J60" s="3">
        <f t="shared" si="41"/>
        <v>1</v>
      </c>
      <c r="K60" s="3">
        <f t="shared" si="41"/>
        <v>1</v>
      </c>
      <c r="L60" s="3">
        <f t="shared" si="41"/>
        <v>1</v>
      </c>
      <c r="M60" s="3">
        <f t="shared" si="41"/>
        <v>1</v>
      </c>
      <c r="N60" s="3">
        <f t="shared" si="41"/>
        <v>1</v>
      </c>
      <c r="O60" s="3">
        <f t="shared" si="41"/>
        <v>1</v>
      </c>
      <c r="P60" s="3">
        <f t="shared" si="41"/>
        <v>1</v>
      </c>
      <c r="Q60" s="3">
        <f t="shared" si="41"/>
        <v>1</v>
      </c>
      <c r="R60" s="3">
        <f t="shared" si="41"/>
        <v>1</v>
      </c>
      <c r="S60" s="3">
        <f t="shared" si="41"/>
        <v>1</v>
      </c>
      <c r="T60" s="3">
        <f t="shared" si="41"/>
        <v>1</v>
      </c>
      <c r="U60" s="3">
        <f t="shared" si="41"/>
        <v>1</v>
      </c>
      <c r="V60" s="3">
        <f t="shared" si="41"/>
        <v>1</v>
      </c>
      <c r="W60" s="3">
        <f t="shared" si="41"/>
        <v>1</v>
      </c>
      <c r="X60" s="3">
        <f t="shared" si="41"/>
        <v>1</v>
      </c>
      <c r="Y60" s="3">
        <f t="shared" si="41"/>
        <v>1</v>
      </c>
      <c r="Z60" s="3">
        <f t="shared" si="41"/>
        <v>1</v>
      </c>
      <c r="AA60" s="3">
        <f t="shared" si="41"/>
        <v>1</v>
      </c>
      <c r="AB60" s="3">
        <f t="shared" si="41"/>
        <v>1</v>
      </c>
      <c r="AC60" s="3">
        <f t="shared" si="41"/>
        <v>1</v>
      </c>
      <c r="AD60" s="3">
        <f t="shared" si="41"/>
        <v>1</v>
      </c>
      <c r="AE60" s="3">
        <f t="shared" si="41"/>
        <v>1</v>
      </c>
      <c r="AF60" s="3">
        <f t="shared" si="41"/>
        <v>1</v>
      </c>
      <c r="AG60" s="3">
        <f t="shared" si="41"/>
        <v>1</v>
      </c>
      <c r="AH60" s="3">
        <f t="shared" si="41"/>
        <v>0</v>
      </c>
      <c r="AI60" s="3">
        <f t="shared" si="41"/>
        <v>0</v>
      </c>
    </row>
    <row r="61" spans="1:35" ht="15.75" customHeight="1" outlineLevel="1" x14ac:dyDescent="0.15">
      <c r="A61" s="51" t="s">
        <v>7</v>
      </c>
      <c r="B61" s="51">
        <v>1</v>
      </c>
      <c r="I61" s="3">
        <f t="shared" ref="I61:AI61" si="42">I$55*$B61</f>
        <v>0</v>
      </c>
      <c r="J61" s="3">
        <f t="shared" si="42"/>
        <v>1</v>
      </c>
      <c r="K61" s="3">
        <f t="shared" si="42"/>
        <v>1</v>
      </c>
      <c r="L61" s="3">
        <f t="shared" si="42"/>
        <v>1</v>
      </c>
      <c r="M61" s="3">
        <f t="shared" si="42"/>
        <v>1</v>
      </c>
      <c r="N61" s="3">
        <f t="shared" si="42"/>
        <v>1</v>
      </c>
      <c r="O61" s="3">
        <f t="shared" si="42"/>
        <v>1</v>
      </c>
      <c r="P61" s="3">
        <f t="shared" si="42"/>
        <v>1</v>
      </c>
      <c r="Q61" s="3">
        <f t="shared" si="42"/>
        <v>1</v>
      </c>
      <c r="R61" s="3">
        <f t="shared" si="42"/>
        <v>1</v>
      </c>
      <c r="S61" s="3">
        <f t="shared" si="42"/>
        <v>1</v>
      </c>
      <c r="T61" s="3">
        <f t="shared" si="42"/>
        <v>1</v>
      </c>
      <c r="U61" s="3">
        <f t="shared" si="42"/>
        <v>1</v>
      </c>
      <c r="V61" s="3">
        <f t="shared" si="42"/>
        <v>1</v>
      </c>
      <c r="W61" s="3">
        <f t="shared" si="42"/>
        <v>1</v>
      </c>
      <c r="X61" s="3">
        <f t="shared" si="42"/>
        <v>1</v>
      </c>
      <c r="Y61" s="3">
        <f t="shared" si="42"/>
        <v>1</v>
      </c>
      <c r="Z61" s="3">
        <f t="shared" si="42"/>
        <v>1</v>
      </c>
      <c r="AA61" s="3">
        <f t="shared" si="42"/>
        <v>1</v>
      </c>
      <c r="AB61" s="3">
        <f t="shared" si="42"/>
        <v>1</v>
      </c>
      <c r="AC61" s="3">
        <f t="shared" si="42"/>
        <v>1</v>
      </c>
      <c r="AD61" s="3">
        <f t="shared" si="42"/>
        <v>1</v>
      </c>
      <c r="AE61" s="3">
        <f t="shared" si="42"/>
        <v>1</v>
      </c>
      <c r="AF61" s="3">
        <f t="shared" si="42"/>
        <v>1</v>
      </c>
      <c r="AG61" s="3">
        <f t="shared" si="42"/>
        <v>1</v>
      </c>
      <c r="AH61" s="3">
        <f t="shared" si="42"/>
        <v>0</v>
      </c>
      <c r="AI61" s="3">
        <f t="shared" si="42"/>
        <v>0</v>
      </c>
    </row>
    <row r="62" spans="1:35" ht="15.75" customHeight="1" outlineLevel="1" x14ac:dyDescent="0.15">
      <c r="A62" s="51" t="s">
        <v>8</v>
      </c>
      <c r="B62" s="51">
        <v>1.2</v>
      </c>
      <c r="I62" s="3">
        <f t="shared" ref="I62:AI62" si="43">I$55*$B62</f>
        <v>0</v>
      </c>
      <c r="J62" s="3">
        <f t="shared" si="43"/>
        <v>1.2</v>
      </c>
      <c r="K62" s="3">
        <f t="shared" si="43"/>
        <v>1.2</v>
      </c>
      <c r="L62" s="3">
        <f t="shared" si="43"/>
        <v>1.2</v>
      </c>
      <c r="M62" s="3">
        <f t="shared" si="43"/>
        <v>1.2</v>
      </c>
      <c r="N62" s="3">
        <f t="shared" si="43"/>
        <v>1.2</v>
      </c>
      <c r="O62" s="3">
        <f t="shared" si="43"/>
        <v>1.2</v>
      </c>
      <c r="P62" s="3">
        <f t="shared" si="43"/>
        <v>1.2</v>
      </c>
      <c r="Q62" s="3">
        <f t="shared" si="43"/>
        <v>1.2</v>
      </c>
      <c r="R62" s="3">
        <f t="shared" si="43"/>
        <v>1.2</v>
      </c>
      <c r="S62" s="3">
        <f t="shared" si="43"/>
        <v>1.2</v>
      </c>
      <c r="T62" s="3">
        <f t="shared" si="43"/>
        <v>1.2</v>
      </c>
      <c r="U62" s="3">
        <f t="shared" si="43"/>
        <v>1.2</v>
      </c>
      <c r="V62" s="3">
        <f t="shared" si="43"/>
        <v>1.2</v>
      </c>
      <c r="W62" s="3">
        <f t="shared" si="43"/>
        <v>1.2</v>
      </c>
      <c r="X62" s="3">
        <f t="shared" si="43"/>
        <v>1.2</v>
      </c>
      <c r="Y62" s="3">
        <f t="shared" si="43"/>
        <v>1.2</v>
      </c>
      <c r="Z62" s="3">
        <f t="shared" si="43"/>
        <v>1.2</v>
      </c>
      <c r="AA62" s="3">
        <f t="shared" si="43"/>
        <v>1.2</v>
      </c>
      <c r="AB62" s="3">
        <f t="shared" si="43"/>
        <v>1.2</v>
      </c>
      <c r="AC62" s="3">
        <f t="shared" si="43"/>
        <v>1.2</v>
      </c>
      <c r="AD62" s="3">
        <f t="shared" si="43"/>
        <v>1.2</v>
      </c>
      <c r="AE62" s="3">
        <f t="shared" si="43"/>
        <v>1.2</v>
      </c>
      <c r="AF62" s="3">
        <f t="shared" si="43"/>
        <v>1.2</v>
      </c>
      <c r="AG62" s="3">
        <f t="shared" si="43"/>
        <v>1.2</v>
      </c>
      <c r="AH62" s="3">
        <f t="shared" si="43"/>
        <v>0</v>
      </c>
      <c r="AI62" s="3">
        <f t="shared" si="43"/>
        <v>0</v>
      </c>
    </row>
    <row r="63" spans="1:35" ht="15.75" customHeight="1" outlineLevel="1" x14ac:dyDescent="0.15">
      <c r="A63" s="51" t="s">
        <v>101</v>
      </c>
      <c r="B63" s="51">
        <v>1</v>
      </c>
      <c r="I63" s="3">
        <f t="shared" ref="I63:AI63" si="44">I$55*$B63</f>
        <v>0</v>
      </c>
      <c r="J63" s="3">
        <f t="shared" si="44"/>
        <v>1</v>
      </c>
      <c r="K63" s="3">
        <f t="shared" si="44"/>
        <v>1</v>
      </c>
      <c r="L63" s="3">
        <f t="shared" si="44"/>
        <v>1</v>
      </c>
      <c r="M63" s="3">
        <f t="shared" si="44"/>
        <v>1</v>
      </c>
      <c r="N63" s="3">
        <f t="shared" si="44"/>
        <v>1</v>
      </c>
      <c r="O63" s="3">
        <f t="shared" si="44"/>
        <v>1</v>
      </c>
      <c r="P63" s="3">
        <f t="shared" si="44"/>
        <v>1</v>
      </c>
      <c r="Q63" s="3">
        <f t="shared" si="44"/>
        <v>1</v>
      </c>
      <c r="R63" s="3">
        <f t="shared" si="44"/>
        <v>1</v>
      </c>
      <c r="S63" s="3">
        <f t="shared" si="44"/>
        <v>1</v>
      </c>
      <c r="T63" s="3">
        <f t="shared" si="44"/>
        <v>1</v>
      </c>
      <c r="U63" s="3">
        <f t="shared" si="44"/>
        <v>1</v>
      </c>
      <c r="V63" s="3">
        <f t="shared" si="44"/>
        <v>1</v>
      </c>
      <c r="W63" s="3">
        <f t="shared" si="44"/>
        <v>1</v>
      </c>
      <c r="X63" s="3">
        <f t="shared" si="44"/>
        <v>1</v>
      </c>
      <c r="Y63" s="3">
        <f t="shared" si="44"/>
        <v>1</v>
      </c>
      <c r="Z63" s="3">
        <f t="shared" si="44"/>
        <v>1</v>
      </c>
      <c r="AA63" s="3">
        <f t="shared" si="44"/>
        <v>1</v>
      </c>
      <c r="AB63" s="3">
        <f t="shared" si="44"/>
        <v>1</v>
      </c>
      <c r="AC63" s="3">
        <f t="shared" si="44"/>
        <v>1</v>
      </c>
      <c r="AD63" s="3">
        <f t="shared" si="44"/>
        <v>1</v>
      </c>
      <c r="AE63" s="3">
        <f t="shared" si="44"/>
        <v>1</v>
      </c>
      <c r="AF63" s="3">
        <f t="shared" si="44"/>
        <v>1</v>
      </c>
      <c r="AG63" s="3">
        <f t="shared" si="44"/>
        <v>1</v>
      </c>
      <c r="AH63" s="3">
        <f t="shared" si="44"/>
        <v>0</v>
      </c>
      <c r="AI63" s="3">
        <f t="shared" si="44"/>
        <v>0</v>
      </c>
    </row>
    <row r="64" spans="1:35" ht="13" outlineLevel="1" x14ac:dyDescent="0.15">
      <c r="A64" s="51" t="s">
        <v>102</v>
      </c>
      <c r="B64" s="51">
        <v>7</v>
      </c>
      <c r="I64" s="3">
        <f t="shared" ref="I64:AI64" si="45">I$55*$B64</f>
        <v>0</v>
      </c>
      <c r="J64" s="3">
        <f t="shared" si="45"/>
        <v>7</v>
      </c>
      <c r="K64" s="3">
        <f t="shared" si="45"/>
        <v>7</v>
      </c>
      <c r="L64" s="3">
        <f t="shared" si="45"/>
        <v>7</v>
      </c>
      <c r="M64" s="3">
        <f t="shared" si="45"/>
        <v>7</v>
      </c>
      <c r="N64" s="3">
        <f t="shared" si="45"/>
        <v>7</v>
      </c>
      <c r="O64" s="3">
        <f t="shared" si="45"/>
        <v>7</v>
      </c>
      <c r="P64" s="3">
        <f t="shared" si="45"/>
        <v>7</v>
      </c>
      <c r="Q64" s="3">
        <f t="shared" si="45"/>
        <v>7</v>
      </c>
      <c r="R64" s="3">
        <f t="shared" si="45"/>
        <v>7</v>
      </c>
      <c r="S64" s="3">
        <f t="shared" si="45"/>
        <v>7</v>
      </c>
      <c r="T64" s="3">
        <f t="shared" si="45"/>
        <v>7</v>
      </c>
      <c r="U64" s="3">
        <f t="shared" si="45"/>
        <v>7</v>
      </c>
      <c r="V64" s="3">
        <f t="shared" si="45"/>
        <v>7</v>
      </c>
      <c r="W64" s="3">
        <f t="shared" si="45"/>
        <v>7</v>
      </c>
      <c r="X64" s="3">
        <f t="shared" si="45"/>
        <v>7</v>
      </c>
      <c r="Y64" s="3">
        <f t="shared" si="45"/>
        <v>7</v>
      </c>
      <c r="Z64" s="3">
        <f t="shared" si="45"/>
        <v>7</v>
      </c>
      <c r="AA64" s="3">
        <f t="shared" si="45"/>
        <v>7</v>
      </c>
      <c r="AB64" s="3">
        <f t="shared" si="45"/>
        <v>7</v>
      </c>
      <c r="AC64" s="3">
        <f t="shared" si="45"/>
        <v>7</v>
      </c>
      <c r="AD64" s="3">
        <f t="shared" si="45"/>
        <v>7</v>
      </c>
      <c r="AE64" s="3">
        <f t="shared" si="45"/>
        <v>7</v>
      </c>
      <c r="AF64" s="3">
        <f t="shared" si="45"/>
        <v>7</v>
      </c>
      <c r="AG64" s="3">
        <f t="shared" si="45"/>
        <v>7</v>
      </c>
      <c r="AH64" s="3">
        <f t="shared" si="45"/>
        <v>0</v>
      </c>
      <c r="AI64" s="3">
        <f t="shared" si="45"/>
        <v>0</v>
      </c>
    </row>
    <row r="65" spans="1:35" ht="13" outlineLevel="1" x14ac:dyDescent="0.15">
      <c r="A65" s="51" t="s">
        <v>103</v>
      </c>
      <c r="B65" s="51">
        <v>1</v>
      </c>
      <c r="I65" s="3">
        <f t="shared" ref="I65:AI65" si="46">I$55*$B65</f>
        <v>0</v>
      </c>
      <c r="J65" s="3">
        <f t="shared" si="46"/>
        <v>1</v>
      </c>
      <c r="K65" s="3">
        <f t="shared" si="46"/>
        <v>1</v>
      </c>
      <c r="L65" s="3">
        <f t="shared" si="46"/>
        <v>1</v>
      </c>
      <c r="M65" s="3">
        <f t="shared" si="46"/>
        <v>1</v>
      </c>
      <c r="N65" s="3">
        <f t="shared" si="46"/>
        <v>1</v>
      </c>
      <c r="O65" s="3">
        <f t="shared" si="46"/>
        <v>1</v>
      </c>
      <c r="P65" s="3">
        <f t="shared" si="46"/>
        <v>1</v>
      </c>
      <c r="Q65" s="3">
        <f t="shared" si="46"/>
        <v>1</v>
      </c>
      <c r="R65" s="3">
        <f t="shared" si="46"/>
        <v>1</v>
      </c>
      <c r="S65" s="3">
        <f t="shared" si="46"/>
        <v>1</v>
      </c>
      <c r="T65" s="3">
        <f t="shared" si="46"/>
        <v>1</v>
      </c>
      <c r="U65" s="3">
        <f t="shared" si="46"/>
        <v>1</v>
      </c>
      <c r="V65" s="3">
        <f t="shared" si="46"/>
        <v>1</v>
      </c>
      <c r="W65" s="3">
        <f t="shared" si="46"/>
        <v>1</v>
      </c>
      <c r="X65" s="3">
        <f t="shared" si="46"/>
        <v>1</v>
      </c>
      <c r="Y65" s="3">
        <f t="shared" si="46"/>
        <v>1</v>
      </c>
      <c r="Z65" s="3">
        <f t="shared" si="46"/>
        <v>1</v>
      </c>
      <c r="AA65" s="3">
        <f t="shared" si="46"/>
        <v>1</v>
      </c>
      <c r="AB65" s="3">
        <f t="shared" si="46"/>
        <v>1</v>
      </c>
      <c r="AC65" s="3">
        <f t="shared" si="46"/>
        <v>1</v>
      </c>
      <c r="AD65" s="3">
        <f t="shared" si="46"/>
        <v>1</v>
      </c>
      <c r="AE65" s="3">
        <f t="shared" si="46"/>
        <v>1</v>
      </c>
      <c r="AF65" s="3">
        <f t="shared" si="46"/>
        <v>1</v>
      </c>
      <c r="AG65" s="3">
        <f t="shared" si="46"/>
        <v>1</v>
      </c>
      <c r="AH65" s="3">
        <f t="shared" si="46"/>
        <v>0</v>
      </c>
      <c r="AI65" s="3">
        <f t="shared" si="46"/>
        <v>0</v>
      </c>
    </row>
    <row r="66" spans="1:35" ht="13" outlineLevel="1" x14ac:dyDescent="0.15"/>
    <row r="67" spans="1:35" ht="13" outlineLevel="1" x14ac:dyDescent="0.15">
      <c r="A67" s="56" t="s">
        <v>143</v>
      </c>
      <c r="B67" s="56"/>
      <c r="C67" s="56" t="s">
        <v>144</v>
      </c>
      <c r="D67" s="56"/>
      <c r="E67" s="56"/>
      <c r="F67" s="56"/>
      <c r="G67" s="56"/>
      <c r="H67" s="56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6"/>
      <c r="AH67" s="56"/>
      <c r="AI67" s="56"/>
    </row>
    <row r="68" spans="1:35" ht="13" outlineLevel="1" x14ac:dyDescent="0.15">
      <c r="A68" s="67" t="s">
        <v>2</v>
      </c>
      <c r="C68" s="3">
        <v>21</v>
      </c>
      <c r="I68" s="3">
        <f t="shared" ref="I68:AI68" si="47">I55+I48</f>
        <v>0.4</v>
      </c>
      <c r="J68" s="3">
        <f t="shared" si="47"/>
        <v>1.4</v>
      </c>
      <c r="K68" s="3">
        <f t="shared" si="47"/>
        <v>1.4</v>
      </c>
      <c r="L68" s="3">
        <f t="shared" si="47"/>
        <v>1.4</v>
      </c>
      <c r="M68" s="3">
        <f t="shared" si="47"/>
        <v>1.4</v>
      </c>
      <c r="N68" s="3">
        <f t="shared" si="47"/>
        <v>1.8</v>
      </c>
      <c r="O68" s="3">
        <f t="shared" si="47"/>
        <v>1.8</v>
      </c>
      <c r="P68" s="3">
        <f t="shared" si="47"/>
        <v>1.8</v>
      </c>
      <c r="Q68" s="3">
        <f t="shared" si="47"/>
        <v>1.8</v>
      </c>
      <c r="R68" s="3">
        <f t="shared" si="47"/>
        <v>1.8</v>
      </c>
      <c r="S68" s="3">
        <f t="shared" si="47"/>
        <v>1.8</v>
      </c>
      <c r="T68" s="3">
        <f t="shared" si="47"/>
        <v>1.8</v>
      </c>
      <c r="U68" s="3">
        <f t="shared" si="47"/>
        <v>1.8</v>
      </c>
      <c r="V68" s="3">
        <f t="shared" si="47"/>
        <v>1.8</v>
      </c>
      <c r="W68" s="3">
        <f t="shared" si="47"/>
        <v>1.6</v>
      </c>
      <c r="X68" s="3">
        <f t="shared" si="47"/>
        <v>1.6</v>
      </c>
      <c r="Y68" s="3">
        <f t="shared" si="47"/>
        <v>1.6</v>
      </c>
      <c r="Z68" s="3">
        <f t="shared" si="47"/>
        <v>1.6</v>
      </c>
      <c r="AA68" s="3">
        <f t="shared" si="47"/>
        <v>1.6</v>
      </c>
      <c r="AB68" s="3">
        <f t="shared" si="47"/>
        <v>1.6</v>
      </c>
      <c r="AC68" s="3">
        <f t="shared" si="47"/>
        <v>1.4</v>
      </c>
      <c r="AD68" s="3">
        <f t="shared" si="47"/>
        <v>1.4</v>
      </c>
      <c r="AE68" s="3">
        <f t="shared" si="47"/>
        <v>1.4</v>
      </c>
      <c r="AF68" s="3">
        <f t="shared" si="47"/>
        <v>1.4</v>
      </c>
      <c r="AG68" s="3">
        <f t="shared" si="47"/>
        <v>1.4</v>
      </c>
      <c r="AH68" s="3">
        <f t="shared" si="47"/>
        <v>0.4</v>
      </c>
      <c r="AI68" s="3">
        <f t="shared" si="47"/>
        <v>0.4</v>
      </c>
    </row>
    <row r="69" spans="1:35" ht="13" outlineLevel="1" x14ac:dyDescent="0.15">
      <c r="A69" s="67" t="s">
        <v>3</v>
      </c>
      <c r="C69" s="3">
        <v>23.1</v>
      </c>
      <c r="I69" s="3">
        <f t="shared" ref="I69:AI69" si="48">I57</f>
        <v>0</v>
      </c>
      <c r="J69" s="3">
        <f t="shared" si="48"/>
        <v>1.5</v>
      </c>
      <c r="K69" s="3">
        <f t="shared" si="48"/>
        <v>1.5</v>
      </c>
      <c r="L69" s="3">
        <f t="shared" si="48"/>
        <v>1.5</v>
      </c>
      <c r="M69" s="3">
        <f t="shared" si="48"/>
        <v>1.5</v>
      </c>
      <c r="N69" s="3">
        <f t="shared" si="48"/>
        <v>1.5</v>
      </c>
      <c r="O69" s="3">
        <f t="shared" si="48"/>
        <v>1.5</v>
      </c>
      <c r="P69" s="3">
        <f t="shared" si="48"/>
        <v>1.5</v>
      </c>
      <c r="Q69" s="3">
        <f t="shared" si="48"/>
        <v>1.5</v>
      </c>
      <c r="R69" s="3">
        <f t="shared" si="48"/>
        <v>1.5</v>
      </c>
      <c r="S69" s="3">
        <f t="shared" si="48"/>
        <v>1.5</v>
      </c>
      <c r="T69" s="3">
        <f t="shared" si="48"/>
        <v>1.5</v>
      </c>
      <c r="U69" s="3">
        <f t="shared" si="48"/>
        <v>1.5</v>
      </c>
      <c r="V69" s="3">
        <f t="shared" si="48"/>
        <v>1.5</v>
      </c>
      <c r="W69" s="3">
        <f t="shared" si="48"/>
        <v>1.5</v>
      </c>
      <c r="X69" s="3">
        <f t="shared" si="48"/>
        <v>1.5</v>
      </c>
      <c r="Y69" s="3">
        <f t="shared" si="48"/>
        <v>1.5</v>
      </c>
      <c r="Z69" s="3">
        <f t="shared" si="48"/>
        <v>1.5</v>
      </c>
      <c r="AA69" s="3">
        <f t="shared" si="48"/>
        <v>1.5</v>
      </c>
      <c r="AB69" s="3">
        <f t="shared" si="48"/>
        <v>1.5</v>
      </c>
      <c r="AC69" s="3">
        <f t="shared" si="48"/>
        <v>1.5</v>
      </c>
      <c r="AD69" s="3">
        <f t="shared" si="48"/>
        <v>1.5</v>
      </c>
      <c r="AE69" s="3">
        <f t="shared" si="48"/>
        <v>1.5</v>
      </c>
      <c r="AF69" s="3">
        <f t="shared" si="48"/>
        <v>1.5</v>
      </c>
      <c r="AG69" s="3">
        <f t="shared" si="48"/>
        <v>1.5</v>
      </c>
      <c r="AH69" s="3">
        <f t="shared" si="48"/>
        <v>0</v>
      </c>
      <c r="AI69" s="3">
        <f t="shared" si="48"/>
        <v>0</v>
      </c>
    </row>
    <row r="70" spans="1:35" ht="13" outlineLevel="1" x14ac:dyDescent="0.15">
      <c r="A70" s="67" t="s">
        <v>4</v>
      </c>
      <c r="C70" s="3">
        <v>25.2</v>
      </c>
      <c r="I70" s="3">
        <f t="shared" ref="I70:AI70" si="49">I58+I49</f>
        <v>2</v>
      </c>
      <c r="J70" s="3">
        <f t="shared" si="49"/>
        <v>3</v>
      </c>
      <c r="K70" s="3">
        <f t="shared" si="49"/>
        <v>3</v>
      </c>
      <c r="L70" s="3">
        <f t="shared" si="49"/>
        <v>3</v>
      </c>
      <c r="M70" s="3">
        <f t="shared" si="49"/>
        <v>3</v>
      </c>
      <c r="N70" s="3">
        <f t="shared" si="49"/>
        <v>5</v>
      </c>
      <c r="O70" s="3">
        <f t="shared" si="49"/>
        <v>5</v>
      </c>
      <c r="P70" s="3">
        <f t="shared" si="49"/>
        <v>5</v>
      </c>
      <c r="Q70" s="3">
        <f t="shared" si="49"/>
        <v>5</v>
      </c>
      <c r="R70" s="3">
        <f t="shared" si="49"/>
        <v>5</v>
      </c>
      <c r="S70" s="3">
        <f t="shared" si="49"/>
        <v>5</v>
      </c>
      <c r="T70" s="3">
        <f t="shared" si="49"/>
        <v>5</v>
      </c>
      <c r="U70" s="3">
        <f t="shared" si="49"/>
        <v>5</v>
      </c>
      <c r="V70" s="3">
        <f t="shared" si="49"/>
        <v>5</v>
      </c>
      <c r="W70" s="3">
        <f t="shared" si="49"/>
        <v>4</v>
      </c>
      <c r="X70" s="3">
        <f t="shared" si="49"/>
        <v>4</v>
      </c>
      <c r="Y70" s="3">
        <f t="shared" si="49"/>
        <v>4</v>
      </c>
      <c r="Z70" s="3">
        <f t="shared" si="49"/>
        <v>4</v>
      </c>
      <c r="AA70" s="3">
        <f t="shared" si="49"/>
        <v>4</v>
      </c>
      <c r="AB70" s="3">
        <f t="shared" si="49"/>
        <v>4</v>
      </c>
      <c r="AC70" s="3">
        <f t="shared" si="49"/>
        <v>3</v>
      </c>
      <c r="AD70" s="3">
        <f t="shared" si="49"/>
        <v>3</v>
      </c>
      <c r="AE70" s="3">
        <f t="shared" si="49"/>
        <v>3</v>
      </c>
      <c r="AF70" s="3">
        <f t="shared" si="49"/>
        <v>3</v>
      </c>
      <c r="AG70" s="3">
        <f t="shared" si="49"/>
        <v>3</v>
      </c>
      <c r="AH70" s="3">
        <f t="shared" si="49"/>
        <v>2</v>
      </c>
      <c r="AI70" s="3">
        <f t="shared" si="49"/>
        <v>2</v>
      </c>
    </row>
    <row r="71" spans="1:35" ht="13" outlineLevel="1" x14ac:dyDescent="0.15">
      <c r="A71" s="67" t="s">
        <v>5</v>
      </c>
      <c r="C71" s="3">
        <v>23.1</v>
      </c>
      <c r="I71" s="3">
        <f t="shared" ref="I71:AI71" si="50">I59</f>
        <v>0</v>
      </c>
      <c r="J71" s="3">
        <f t="shared" si="50"/>
        <v>1</v>
      </c>
      <c r="K71" s="3">
        <f t="shared" si="50"/>
        <v>1</v>
      </c>
      <c r="L71" s="3">
        <f t="shared" si="50"/>
        <v>1</v>
      </c>
      <c r="M71" s="3">
        <f t="shared" si="50"/>
        <v>1</v>
      </c>
      <c r="N71" s="3">
        <f t="shared" si="50"/>
        <v>1</v>
      </c>
      <c r="O71" s="3">
        <f t="shared" si="50"/>
        <v>1</v>
      </c>
      <c r="P71" s="3">
        <f t="shared" si="50"/>
        <v>1</v>
      </c>
      <c r="Q71" s="3">
        <f t="shared" si="50"/>
        <v>1</v>
      </c>
      <c r="R71" s="3">
        <f t="shared" si="50"/>
        <v>1</v>
      </c>
      <c r="S71" s="3">
        <f t="shared" si="50"/>
        <v>1</v>
      </c>
      <c r="T71" s="3">
        <f t="shared" si="50"/>
        <v>1</v>
      </c>
      <c r="U71" s="3">
        <f t="shared" si="50"/>
        <v>1</v>
      </c>
      <c r="V71" s="3">
        <f t="shared" si="50"/>
        <v>1</v>
      </c>
      <c r="W71" s="3">
        <f t="shared" si="50"/>
        <v>1</v>
      </c>
      <c r="X71" s="3">
        <f t="shared" si="50"/>
        <v>1</v>
      </c>
      <c r="Y71" s="3">
        <f t="shared" si="50"/>
        <v>1</v>
      </c>
      <c r="Z71" s="3">
        <f t="shared" si="50"/>
        <v>1</v>
      </c>
      <c r="AA71" s="3">
        <f t="shared" si="50"/>
        <v>1</v>
      </c>
      <c r="AB71" s="3">
        <f t="shared" si="50"/>
        <v>1</v>
      </c>
      <c r="AC71" s="3">
        <f t="shared" si="50"/>
        <v>1</v>
      </c>
      <c r="AD71" s="3">
        <f t="shared" si="50"/>
        <v>1</v>
      </c>
      <c r="AE71" s="3">
        <f t="shared" si="50"/>
        <v>1</v>
      </c>
      <c r="AF71" s="3">
        <f t="shared" si="50"/>
        <v>1</v>
      </c>
      <c r="AG71" s="3">
        <f t="shared" si="50"/>
        <v>1</v>
      </c>
      <c r="AH71" s="3">
        <f t="shared" si="50"/>
        <v>0</v>
      </c>
      <c r="AI71" s="3">
        <f t="shared" si="50"/>
        <v>0</v>
      </c>
    </row>
    <row r="72" spans="1:35" ht="13" outlineLevel="1" x14ac:dyDescent="0.15">
      <c r="A72" s="67" t="s">
        <v>100</v>
      </c>
      <c r="C72" s="3">
        <v>31.5</v>
      </c>
      <c r="I72" s="3">
        <f t="shared" ref="I72:AI72" si="51">I50+I60</f>
        <v>2</v>
      </c>
      <c r="J72" s="3">
        <f t="shared" si="51"/>
        <v>3</v>
      </c>
      <c r="K72" s="3">
        <f t="shared" si="51"/>
        <v>3</v>
      </c>
      <c r="L72" s="3">
        <f t="shared" si="51"/>
        <v>3</v>
      </c>
      <c r="M72" s="3">
        <f t="shared" si="51"/>
        <v>3</v>
      </c>
      <c r="N72" s="3">
        <f t="shared" si="51"/>
        <v>5</v>
      </c>
      <c r="O72" s="3">
        <f t="shared" si="51"/>
        <v>5</v>
      </c>
      <c r="P72" s="3">
        <f t="shared" si="51"/>
        <v>5</v>
      </c>
      <c r="Q72" s="3">
        <f t="shared" si="51"/>
        <v>5</v>
      </c>
      <c r="R72" s="3">
        <f t="shared" si="51"/>
        <v>5</v>
      </c>
      <c r="S72" s="3">
        <f t="shared" si="51"/>
        <v>5</v>
      </c>
      <c r="T72" s="3">
        <f t="shared" si="51"/>
        <v>5</v>
      </c>
      <c r="U72" s="3">
        <f t="shared" si="51"/>
        <v>5</v>
      </c>
      <c r="V72" s="3">
        <f t="shared" si="51"/>
        <v>5</v>
      </c>
      <c r="W72" s="3">
        <f t="shared" si="51"/>
        <v>4</v>
      </c>
      <c r="X72" s="3">
        <f t="shared" si="51"/>
        <v>4</v>
      </c>
      <c r="Y72" s="3">
        <f t="shared" si="51"/>
        <v>4</v>
      </c>
      <c r="Z72" s="3">
        <f t="shared" si="51"/>
        <v>4</v>
      </c>
      <c r="AA72" s="3">
        <f t="shared" si="51"/>
        <v>4</v>
      </c>
      <c r="AB72" s="3">
        <f t="shared" si="51"/>
        <v>4</v>
      </c>
      <c r="AC72" s="3">
        <f t="shared" si="51"/>
        <v>3</v>
      </c>
      <c r="AD72" s="3">
        <f t="shared" si="51"/>
        <v>3</v>
      </c>
      <c r="AE72" s="3">
        <f t="shared" si="51"/>
        <v>3</v>
      </c>
      <c r="AF72" s="3">
        <f t="shared" si="51"/>
        <v>3</v>
      </c>
      <c r="AG72" s="3">
        <f t="shared" si="51"/>
        <v>3</v>
      </c>
      <c r="AH72" s="3">
        <f t="shared" si="51"/>
        <v>2</v>
      </c>
      <c r="AI72" s="3">
        <f t="shared" si="51"/>
        <v>2</v>
      </c>
    </row>
    <row r="73" spans="1:35" ht="13" outlineLevel="1" x14ac:dyDescent="0.15">
      <c r="A73" s="67" t="s">
        <v>7</v>
      </c>
      <c r="C73" s="3">
        <v>21</v>
      </c>
      <c r="I73" s="3">
        <f t="shared" ref="I73:AI73" si="52">I51+I61</f>
        <v>2</v>
      </c>
      <c r="J73" s="3">
        <f t="shared" si="52"/>
        <v>3</v>
      </c>
      <c r="K73" s="3">
        <f t="shared" si="52"/>
        <v>3</v>
      </c>
      <c r="L73" s="3">
        <f t="shared" si="52"/>
        <v>3</v>
      </c>
      <c r="M73" s="3">
        <f t="shared" si="52"/>
        <v>3</v>
      </c>
      <c r="N73" s="3">
        <f t="shared" si="52"/>
        <v>5</v>
      </c>
      <c r="O73" s="3">
        <f t="shared" si="52"/>
        <v>5</v>
      </c>
      <c r="P73" s="3">
        <f t="shared" si="52"/>
        <v>5</v>
      </c>
      <c r="Q73" s="3">
        <f t="shared" si="52"/>
        <v>5</v>
      </c>
      <c r="R73" s="3">
        <f t="shared" si="52"/>
        <v>5</v>
      </c>
      <c r="S73" s="3">
        <f t="shared" si="52"/>
        <v>5</v>
      </c>
      <c r="T73" s="3">
        <f t="shared" si="52"/>
        <v>5</v>
      </c>
      <c r="U73" s="3">
        <f t="shared" si="52"/>
        <v>5</v>
      </c>
      <c r="V73" s="3">
        <f t="shared" si="52"/>
        <v>5</v>
      </c>
      <c r="W73" s="3">
        <f t="shared" si="52"/>
        <v>4</v>
      </c>
      <c r="X73" s="3">
        <f t="shared" si="52"/>
        <v>4</v>
      </c>
      <c r="Y73" s="3">
        <f t="shared" si="52"/>
        <v>4</v>
      </c>
      <c r="Z73" s="3">
        <f t="shared" si="52"/>
        <v>4</v>
      </c>
      <c r="AA73" s="3">
        <f t="shared" si="52"/>
        <v>4</v>
      </c>
      <c r="AB73" s="3">
        <f t="shared" si="52"/>
        <v>4</v>
      </c>
      <c r="AC73" s="3">
        <f t="shared" si="52"/>
        <v>3</v>
      </c>
      <c r="AD73" s="3">
        <f t="shared" si="52"/>
        <v>3</v>
      </c>
      <c r="AE73" s="3">
        <f t="shared" si="52"/>
        <v>3</v>
      </c>
      <c r="AF73" s="3">
        <f t="shared" si="52"/>
        <v>3</v>
      </c>
      <c r="AG73" s="3">
        <f t="shared" si="52"/>
        <v>3</v>
      </c>
      <c r="AH73" s="3">
        <f t="shared" si="52"/>
        <v>2</v>
      </c>
      <c r="AI73" s="3">
        <f t="shared" si="52"/>
        <v>2</v>
      </c>
    </row>
    <row r="74" spans="1:35" ht="13" outlineLevel="1" x14ac:dyDescent="0.15">
      <c r="A74" s="67" t="s">
        <v>8</v>
      </c>
      <c r="C74" s="3">
        <v>18.899999999999999</v>
      </c>
      <c r="I74" s="3">
        <f t="shared" ref="I74:AI74" si="53">I52+I62</f>
        <v>1</v>
      </c>
      <c r="J74" s="3">
        <f t="shared" si="53"/>
        <v>2.2000000000000002</v>
      </c>
      <c r="K74" s="3">
        <f t="shared" si="53"/>
        <v>2.2000000000000002</v>
      </c>
      <c r="L74" s="3">
        <f t="shared" si="53"/>
        <v>2.2000000000000002</v>
      </c>
      <c r="M74" s="3">
        <f t="shared" si="53"/>
        <v>2.2000000000000002</v>
      </c>
      <c r="N74" s="3">
        <f t="shared" si="53"/>
        <v>3.2</v>
      </c>
      <c r="O74" s="3">
        <f t="shared" si="53"/>
        <v>3.2</v>
      </c>
      <c r="P74" s="3">
        <f t="shared" si="53"/>
        <v>3.2</v>
      </c>
      <c r="Q74" s="3">
        <f t="shared" si="53"/>
        <v>3.2</v>
      </c>
      <c r="R74" s="3">
        <f t="shared" si="53"/>
        <v>3.2</v>
      </c>
      <c r="S74" s="3">
        <f t="shared" si="53"/>
        <v>3.2</v>
      </c>
      <c r="T74" s="3">
        <f t="shared" si="53"/>
        <v>3.2</v>
      </c>
      <c r="U74" s="3">
        <f t="shared" si="53"/>
        <v>3.2</v>
      </c>
      <c r="V74" s="3">
        <f t="shared" si="53"/>
        <v>3.2</v>
      </c>
      <c r="W74" s="3">
        <f t="shared" si="53"/>
        <v>2.7</v>
      </c>
      <c r="X74" s="3">
        <f t="shared" si="53"/>
        <v>2.7</v>
      </c>
      <c r="Y74" s="3">
        <f t="shared" si="53"/>
        <v>2.7</v>
      </c>
      <c r="Z74" s="3">
        <f t="shared" si="53"/>
        <v>2.7</v>
      </c>
      <c r="AA74" s="3">
        <f t="shared" si="53"/>
        <v>2.7</v>
      </c>
      <c r="AB74" s="3">
        <f t="shared" si="53"/>
        <v>2.7</v>
      </c>
      <c r="AC74" s="3">
        <f t="shared" si="53"/>
        <v>2.2000000000000002</v>
      </c>
      <c r="AD74" s="3">
        <f t="shared" si="53"/>
        <v>2.2000000000000002</v>
      </c>
      <c r="AE74" s="3">
        <f t="shared" si="53"/>
        <v>2.2000000000000002</v>
      </c>
      <c r="AF74" s="3">
        <f t="shared" si="53"/>
        <v>2.2000000000000002</v>
      </c>
      <c r="AG74" s="3">
        <f t="shared" si="53"/>
        <v>2.2000000000000002</v>
      </c>
      <c r="AH74" s="3">
        <f t="shared" si="53"/>
        <v>1</v>
      </c>
      <c r="AI74" s="3">
        <f t="shared" si="53"/>
        <v>1</v>
      </c>
    </row>
    <row r="75" spans="1:35" ht="13" outlineLevel="1" x14ac:dyDescent="0.15">
      <c r="A75" s="67" t="s">
        <v>101</v>
      </c>
      <c r="C75" s="3">
        <v>16.8</v>
      </c>
      <c r="I75" s="3">
        <f t="shared" ref="I75:AI75" si="54">I63</f>
        <v>0</v>
      </c>
      <c r="J75" s="3">
        <f t="shared" si="54"/>
        <v>1</v>
      </c>
      <c r="K75" s="3">
        <f t="shared" si="54"/>
        <v>1</v>
      </c>
      <c r="L75" s="3">
        <f t="shared" si="54"/>
        <v>1</v>
      </c>
      <c r="M75" s="3">
        <f t="shared" si="54"/>
        <v>1</v>
      </c>
      <c r="N75" s="3">
        <f t="shared" si="54"/>
        <v>1</v>
      </c>
      <c r="O75" s="3">
        <f t="shared" si="54"/>
        <v>1</v>
      </c>
      <c r="P75" s="3">
        <f t="shared" si="54"/>
        <v>1</v>
      </c>
      <c r="Q75" s="3">
        <f t="shared" si="54"/>
        <v>1</v>
      </c>
      <c r="R75" s="3">
        <f t="shared" si="54"/>
        <v>1</v>
      </c>
      <c r="S75" s="3">
        <f t="shared" si="54"/>
        <v>1</v>
      </c>
      <c r="T75" s="3">
        <f t="shared" si="54"/>
        <v>1</v>
      </c>
      <c r="U75" s="3">
        <f t="shared" si="54"/>
        <v>1</v>
      </c>
      <c r="V75" s="3">
        <f t="shared" si="54"/>
        <v>1</v>
      </c>
      <c r="W75" s="3">
        <f t="shared" si="54"/>
        <v>1</v>
      </c>
      <c r="X75" s="3">
        <f t="shared" si="54"/>
        <v>1</v>
      </c>
      <c r="Y75" s="3">
        <f t="shared" si="54"/>
        <v>1</v>
      </c>
      <c r="Z75" s="3">
        <f t="shared" si="54"/>
        <v>1</v>
      </c>
      <c r="AA75" s="3">
        <f t="shared" si="54"/>
        <v>1</v>
      </c>
      <c r="AB75" s="3">
        <f t="shared" si="54"/>
        <v>1</v>
      </c>
      <c r="AC75" s="3">
        <f t="shared" si="54"/>
        <v>1</v>
      </c>
      <c r="AD75" s="3">
        <f t="shared" si="54"/>
        <v>1</v>
      </c>
      <c r="AE75" s="3">
        <f t="shared" si="54"/>
        <v>1</v>
      </c>
      <c r="AF75" s="3">
        <f t="shared" si="54"/>
        <v>1</v>
      </c>
      <c r="AG75" s="3">
        <f t="shared" si="54"/>
        <v>1</v>
      </c>
      <c r="AH75" s="3">
        <f t="shared" si="54"/>
        <v>0</v>
      </c>
      <c r="AI75" s="3">
        <f t="shared" si="54"/>
        <v>0</v>
      </c>
    </row>
    <row r="76" spans="1:35" ht="13" outlineLevel="1" x14ac:dyDescent="0.15">
      <c r="A76" s="67" t="s">
        <v>102</v>
      </c>
      <c r="C76" s="3">
        <v>8.4</v>
      </c>
      <c r="I76" s="3">
        <f t="shared" ref="I76:AI76" si="55">I64</f>
        <v>0</v>
      </c>
      <c r="J76" s="3">
        <f t="shared" si="55"/>
        <v>7</v>
      </c>
      <c r="K76" s="3">
        <f t="shared" si="55"/>
        <v>7</v>
      </c>
      <c r="L76" s="3">
        <f t="shared" si="55"/>
        <v>7</v>
      </c>
      <c r="M76" s="3">
        <f t="shared" si="55"/>
        <v>7</v>
      </c>
      <c r="N76" s="3">
        <f t="shared" si="55"/>
        <v>7</v>
      </c>
      <c r="O76" s="3">
        <f t="shared" si="55"/>
        <v>7</v>
      </c>
      <c r="P76" s="3">
        <f t="shared" si="55"/>
        <v>7</v>
      </c>
      <c r="Q76" s="3">
        <f t="shared" si="55"/>
        <v>7</v>
      </c>
      <c r="R76" s="3">
        <f t="shared" si="55"/>
        <v>7</v>
      </c>
      <c r="S76" s="3">
        <f t="shared" si="55"/>
        <v>7</v>
      </c>
      <c r="T76" s="3">
        <f t="shared" si="55"/>
        <v>7</v>
      </c>
      <c r="U76" s="3">
        <f t="shared" si="55"/>
        <v>7</v>
      </c>
      <c r="V76" s="3">
        <f t="shared" si="55"/>
        <v>7</v>
      </c>
      <c r="W76" s="3">
        <f t="shared" si="55"/>
        <v>7</v>
      </c>
      <c r="X76" s="3">
        <f t="shared" si="55"/>
        <v>7</v>
      </c>
      <c r="Y76" s="3">
        <f t="shared" si="55"/>
        <v>7</v>
      </c>
      <c r="Z76" s="3">
        <f t="shared" si="55"/>
        <v>7</v>
      </c>
      <c r="AA76" s="3">
        <f t="shared" si="55"/>
        <v>7</v>
      </c>
      <c r="AB76" s="3">
        <f t="shared" si="55"/>
        <v>7</v>
      </c>
      <c r="AC76" s="3">
        <f t="shared" si="55"/>
        <v>7</v>
      </c>
      <c r="AD76" s="3">
        <f t="shared" si="55"/>
        <v>7</v>
      </c>
      <c r="AE76" s="3">
        <f t="shared" si="55"/>
        <v>7</v>
      </c>
      <c r="AF76" s="3">
        <f t="shared" si="55"/>
        <v>7</v>
      </c>
      <c r="AG76" s="3">
        <f t="shared" si="55"/>
        <v>7</v>
      </c>
      <c r="AH76" s="3">
        <f t="shared" si="55"/>
        <v>0</v>
      </c>
      <c r="AI76" s="3">
        <f t="shared" si="55"/>
        <v>0</v>
      </c>
    </row>
    <row r="77" spans="1:35" ht="13" outlineLevel="1" x14ac:dyDescent="0.15">
      <c r="A77" s="67" t="s">
        <v>103</v>
      </c>
      <c r="C77" s="3">
        <v>10.5</v>
      </c>
      <c r="I77" s="3">
        <f t="shared" ref="I77:AI77" si="56">I65</f>
        <v>0</v>
      </c>
      <c r="J77" s="3">
        <f t="shared" si="56"/>
        <v>1</v>
      </c>
      <c r="K77" s="3">
        <f t="shared" si="56"/>
        <v>1</v>
      </c>
      <c r="L77" s="3">
        <f t="shared" si="56"/>
        <v>1</v>
      </c>
      <c r="M77" s="3">
        <f t="shared" si="56"/>
        <v>1</v>
      </c>
      <c r="N77" s="3">
        <f t="shared" si="56"/>
        <v>1</v>
      </c>
      <c r="O77" s="3">
        <f t="shared" si="56"/>
        <v>1</v>
      </c>
      <c r="P77" s="3">
        <f t="shared" si="56"/>
        <v>1</v>
      </c>
      <c r="Q77" s="3">
        <f t="shared" si="56"/>
        <v>1</v>
      </c>
      <c r="R77" s="3">
        <f t="shared" si="56"/>
        <v>1</v>
      </c>
      <c r="S77" s="3">
        <f t="shared" si="56"/>
        <v>1</v>
      </c>
      <c r="T77" s="3">
        <f t="shared" si="56"/>
        <v>1</v>
      </c>
      <c r="U77" s="3">
        <f t="shared" si="56"/>
        <v>1</v>
      </c>
      <c r="V77" s="3">
        <f t="shared" si="56"/>
        <v>1</v>
      </c>
      <c r="W77" s="3">
        <f t="shared" si="56"/>
        <v>1</v>
      </c>
      <c r="X77" s="3">
        <f t="shared" si="56"/>
        <v>1</v>
      </c>
      <c r="Y77" s="3">
        <f t="shared" si="56"/>
        <v>1</v>
      </c>
      <c r="Z77" s="3">
        <f t="shared" si="56"/>
        <v>1</v>
      </c>
      <c r="AA77" s="3">
        <f t="shared" si="56"/>
        <v>1</v>
      </c>
      <c r="AB77" s="3">
        <f t="shared" si="56"/>
        <v>1</v>
      </c>
      <c r="AC77" s="3">
        <f t="shared" si="56"/>
        <v>1</v>
      </c>
      <c r="AD77" s="3">
        <f t="shared" si="56"/>
        <v>1</v>
      </c>
      <c r="AE77" s="3">
        <f t="shared" si="56"/>
        <v>1</v>
      </c>
      <c r="AF77" s="3">
        <f t="shared" si="56"/>
        <v>1</v>
      </c>
      <c r="AG77" s="3">
        <f t="shared" si="56"/>
        <v>1</v>
      </c>
      <c r="AH77" s="3">
        <f t="shared" si="56"/>
        <v>0</v>
      </c>
      <c r="AI77" s="3">
        <f t="shared" si="56"/>
        <v>0</v>
      </c>
    </row>
    <row r="78" spans="1:35" ht="13" outlineLevel="1" x14ac:dyDescent="0.15"/>
    <row r="79" spans="1:35" ht="13" outlineLevel="1" x14ac:dyDescent="0.15">
      <c r="A79" s="56" t="s">
        <v>145</v>
      </c>
      <c r="B79" s="56"/>
      <c r="C79" s="56" t="s">
        <v>144</v>
      </c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  <c r="AA79" s="56"/>
      <c r="AB79" s="56"/>
      <c r="AC79" s="56"/>
      <c r="AD79" s="56"/>
      <c r="AE79" s="56"/>
      <c r="AF79" s="56"/>
      <c r="AG79" s="56"/>
      <c r="AH79" s="56"/>
      <c r="AI79" s="56"/>
    </row>
    <row r="80" spans="1:35" ht="13" outlineLevel="1" x14ac:dyDescent="0.15">
      <c r="A80" s="67" t="s">
        <v>2</v>
      </c>
      <c r="C80" s="3">
        <v>21</v>
      </c>
      <c r="I80" s="62">
        <f t="shared" ref="I80:AI80" si="57">I$68*$C80</f>
        <v>8.4</v>
      </c>
      <c r="J80" s="62">
        <f t="shared" si="57"/>
        <v>29.4</v>
      </c>
      <c r="K80" s="62">
        <f t="shared" si="57"/>
        <v>29.4</v>
      </c>
      <c r="L80" s="62">
        <f t="shared" si="57"/>
        <v>29.4</v>
      </c>
      <c r="M80" s="62">
        <f t="shared" si="57"/>
        <v>29.4</v>
      </c>
      <c r="N80" s="62">
        <f t="shared" si="57"/>
        <v>37.800000000000004</v>
      </c>
      <c r="O80" s="62">
        <f t="shared" si="57"/>
        <v>37.800000000000004</v>
      </c>
      <c r="P80" s="62">
        <f t="shared" si="57"/>
        <v>37.800000000000004</v>
      </c>
      <c r="Q80" s="62">
        <f t="shared" si="57"/>
        <v>37.800000000000004</v>
      </c>
      <c r="R80" s="62">
        <f t="shared" si="57"/>
        <v>37.800000000000004</v>
      </c>
      <c r="S80" s="62">
        <f t="shared" si="57"/>
        <v>37.800000000000004</v>
      </c>
      <c r="T80" s="62">
        <f t="shared" si="57"/>
        <v>37.800000000000004</v>
      </c>
      <c r="U80" s="62">
        <f t="shared" si="57"/>
        <v>37.800000000000004</v>
      </c>
      <c r="V80" s="62">
        <f t="shared" si="57"/>
        <v>37.800000000000004</v>
      </c>
      <c r="W80" s="62">
        <f t="shared" si="57"/>
        <v>33.6</v>
      </c>
      <c r="X80" s="62">
        <f t="shared" si="57"/>
        <v>33.6</v>
      </c>
      <c r="Y80" s="62">
        <f t="shared" si="57"/>
        <v>33.6</v>
      </c>
      <c r="Z80" s="62">
        <f t="shared" si="57"/>
        <v>33.6</v>
      </c>
      <c r="AA80" s="62">
        <f t="shared" si="57"/>
        <v>33.6</v>
      </c>
      <c r="AB80" s="62">
        <f t="shared" si="57"/>
        <v>33.6</v>
      </c>
      <c r="AC80" s="62">
        <f t="shared" si="57"/>
        <v>29.4</v>
      </c>
      <c r="AD80" s="62">
        <f t="shared" si="57"/>
        <v>29.4</v>
      </c>
      <c r="AE80" s="62">
        <f t="shared" si="57"/>
        <v>29.4</v>
      </c>
      <c r="AF80" s="62">
        <f t="shared" si="57"/>
        <v>29.4</v>
      </c>
      <c r="AG80" s="62">
        <f t="shared" si="57"/>
        <v>29.4</v>
      </c>
      <c r="AH80" s="62">
        <f t="shared" si="57"/>
        <v>8.4</v>
      </c>
      <c r="AI80" s="62">
        <f t="shared" si="57"/>
        <v>8.4</v>
      </c>
    </row>
    <row r="81" spans="1:35" ht="13" outlineLevel="1" x14ac:dyDescent="0.15">
      <c r="A81" s="67" t="s">
        <v>3</v>
      </c>
      <c r="C81" s="3">
        <v>23.1</v>
      </c>
      <c r="I81" s="62">
        <f t="shared" ref="I81:AI81" si="58">I$68*$C81</f>
        <v>9.24</v>
      </c>
      <c r="J81" s="62">
        <f t="shared" si="58"/>
        <v>32.340000000000003</v>
      </c>
      <c r="K81" s="62">
        <f t="shared" si="58"/>
        <v>32.340000000000003</v>
      </c>
      <c r="L81" s="62">
        <f t="shared" si="58"/>
        <v>32.340000000000003</v>
      </c>
      <c r="M81" s="62">
        <f t="shared" si="58"/>
        <v>32.340000000000003</v>
      </c>
      <c r="N81" s="62">
        <f t="shared" si="58"/>
        <v>41.580000000000005</v>
      </c>
      <c r="O81" s="62">
        <f t="shared" si="58"/>
        <v>41.580000000000005</v>
      </c>
      <c r="P81" s="62">
        <f t="shared" si="58"/>
        <v>41.580000000000005</v>
      </c>
      <c r="Q81" s="62">
        <f t="shared" si="58"/>
        <v>41.580000000000005</v>
      </c>
      <c r="R81" s="62">
        <f t="shared" si="58"/>
        <v>41.580000000000005</v>
      </c>
      <c r="S81" s="62">
        <f t="shared" si="58"/>
        <v>41.580000000000005</v>
      </c>
      <c r="T81" s="62">
        <f t="shared" si="58"/>
        <v>41.580000000000005</v>
      </c>
      <c r="U81" s="62">
        <f t="shared" si="58"/>
        <v>41.580000000000005</v>
      </c>
      <c r="V81" s="62">
        <f t="shared" si="58"/>
        <v>41.580000000000005</v>
      </c>
      <c r="W81" s="62">
        <f t="shared" si="58"/>
        <v>36.96</v>
      </c>
      <c r="X81" s="62">
        <f t="shared" si="58"/>
        <v>36.96</v>
      </c>
      <c r="Y81" s="62">
        <f t="shared" si="58"/>
        <v>36.96</v>
      </c>
      <c r="Z81" s="62">
        <f t="shared" si="58"/>
        <v>36.96</v>
      </c>
      <c r="AA81" s="62">
        <f t="shared" si="58"/>
        <v>36.96</v>
      </c>
      <c r="AB81" s="62">
        <f t="shared" si="58"/>
        <v>36.96</v>
      </c>
      <c r="AC81" s="62">
        <f t="shared" si="58"/>
        <v>32.340000000000003</v>
      </c>
      <c r="AD81" s="62">
        <f t="shared" si="58"/>
        <v>32.340000000000003</v>
      </c>
      <c r="AE81" s="62">
        <f t="shared" si="58"/>
        <v>32.340000000000003</v>
      </c>
      <c r="AF81" s="62">
        <f t="shared" si="58"/>
        <v>32.340000000000003</v>
      </c>
      <c r="AG81" s="62">
        <f t="shared" si="58"/>
        <v>32.340000000000003</v>
      </c>
      <c r="AH81" s="62">
        <f t="shared" si="58"/>
        <v>9.24</v>
      </c>
      <c r="AI81" s="62">
        <f t="shared" si="58"/>
        <v>9.24</v>
      </c>
    </row>
    <row r="82" spans="1:35" ht="13" outlineLevel="1" x14ac:dyDescent="0.15">
      <c r="A82" s="67" t="s">
        <v>4</v>
      </c>
      <c r="C82" s="3">
        <v>25.2</v>
      </c>
      <c r="I82" s="62">
        <f t="shared" ref="I82:AI82" si="59">I$68*$C82</f>
        <v>10.08</v>
      </c>
      <c r="J82" s="62">
        <f t="shared" si="59"/>
        <v>35.279999999999994</v>
      </c>
      <c r="K82" s="62">
        <f t="shared" si="59"/>
        <v>35.279999999999994</v>
      </c>
      <c r="L82" s="62">
        <f t="shared" si="59"/>
        <v>35.279999999999994</v>
      </c>
      <c r="M82" s="62">
        <f t="shared" si="59"/>
        <v>35.279999999999994</v>
      </c>
      <c r="N82" s="62">
        <f t="shared" si="59"/>
        <v>45.36</v>
      </c>
      <c r="O82" s="62">
        <f t="shared" si="59"/>
        <v>45.36</v>
      </c>
      <c r="P82" s="62">
        <f t="shared" si="59"/>
        <v>45.36</v>
      </c>
      <c r="Q82" s="62">
        <f t="shared" si="59"/>
        <v>45.36</v>
      </c>
      <c r="R82" s="62">
        <f t="shared" si="59"/>
        <v>45.36</v>
      </c>
      <c r="S82" s="62">
        <f t="shared" si="59"/>
        <v>45.36</v>
      </c>
      <c r="T82" s="62">
        <f t="shared" si="59"/>
        <v>45.36</v>
      </c>
      <c r="U82" s="62">
        <f t="shared" si="59"/>
        <v>45.36</v>
      </c>
      <c r="V82" s="62">
        <f t="shared" si="59"/>
        <v>45.36</v>
      </c>
      <c r="W82" s="62">
        <f t="shared" si="59"/>
        <v>40.32</v>
      </c>
      <c r="X82" s="62">
        <f t="shared" si="59"/>
        <v>40.32</v>
      </c>
      <c r="Y82" s="62">
        <f t="shared" si="59"/>
        <v>40.32</v>
      </c>
      <c r="Z82" s="62">
        <f t="shared" si="59"/>
        <v>40.32</v>
      </c>
      <c r="AA82" s="62">
        <f t="shared" si="59"/>
        <v>40.32</v>
      </c>
      <c r="AB82" s="62">
        <f t="shared" si="59"/>
        <v>40.32</v>
      </c>
      <c r="AC82" s="62">
        <f t="shared" si="59"/>
        <v>35.279999999999994</v>
      </c>
      <c r="AD82" s="62">
        <f t="shared" si="59"/>
        <v>35.279999999999994</v>
      </c>
      <c r="AE82" s="62">
        <f t="shared" si="59"/>
        <v>35.279999999999994</v>
      </c>
      <c r="AF82" s="62">
        <f t="shared" si="59"/>
        <v>35.279999999999994</v>
      </c>
      <c r="AG82" s="62">
        <f t="shared" si="59"/>
        <v>35.279999999999994</v>
      </c>
      <c r="AH82" s="62">
        <f t="shared" si="59"/>
        <v>10.08</v>
      </c>
      <c r="AI82" s="62">
        <f t="shared" si="59"/>
        <v>10.08</v>
      </c>
    </row>
    <row r="83" spans="1:35" ht="13" outlineLevel="1" x14ac:dyDescent="0.15">
      <c r="A83" s="67" t="s">
        <v>5</v>
      </c>
      <c r="C83" s="3">
        <v>23.1</v>
      </c>
      <c r="I83" s="62">
        <f t="shared" ref="I83:AI83" si="60">I$68*$C83</f>
        <v>9.24</v>
      </c>
      <c r="J83" s="62">
        <f t="shared" si="60"/>
        <v>32.340000000000003</v>
      </c>
      <c r="K83" s="62">
        <f t="shared" si="60"/>
        <v>32.340000000000003</v>
      </c>
      <c r="L83" s="62">
        <f t="shared" si="60"/>
        <v>32.340000000000003</v>
      </c>
      <c r="M83" s="62">
        <f t="shared" si="60"/>
        <v>32.340000000000003</v>
      </c>
      <c r="N83" s="62">
        <f t="shared" si="60"/>
        <v>41.580000000000005</v>
      </c>
      <c r="O83" s="62">
        <f t="shared" si="60"/>
        <v>41.580000000000005</v>
      </c>
      <c r="P83" s="62">
        <f t="shared" si="60"/>
        <v>41.580000000000005</v>
      </c>
      <c r="Q83" s="62">
        <f t="shared" si="60"/>
        <v>41.580000000000005</v>
      </c>
      <c r="R83" s="62">
        <f t="shared" si="60"/>
        <v>41.580000000000005</v>
      </c>
      <c r="S83" s="62">
        <f t="shared" si="60"/>
        <v>41.580000000000005</v>
      </c>
      <c r="T83" s="62">
        <f t="shared" si="60"/>
        <v>41.580000000000005</v>
      </c>
      <c r="U83" s="62">
        <f t="shared" si="60"/>
        <v>41.580000000000005</v>
      </c>
      <c r="V83" s="62">
        <f t="shared" si="60"/>
        <v>41.580000000000005</v>
      </c>
      <c r="W83" s="62">
        <f t="shared" si="60"/>
        <v>36.96</v>
      </c>
      <c r="X83" s="62">
        <f t="shared" si="60"/>
        <v>36.96</v>
      </c>
      <c r="Y83" s="62">
        <f t="shared" si="60"/>
        <v>36.96</v>
      </c>
      <c r="Z83" s="62">
        <f t="shared" si="60"/>
        <v>36.96</v>
      </c>
      <c r="AA83" s="62">
        <f t="shared" si="60"/>
        <v>36.96</v>
      </c>
      <c r="AB83" s="62">
        <f t="shared" si="60"/>
        <v>36.96</v>
      </c>
      <c r="AC83" s="62">
        <f t="shared" si="60"/>
        <v>32.340000000000003</v>
      </c>
      <c r="AD83" s="62">
        <f t="shared" si="60"/>
        <v>32.340000000000003</v>
      </c>
      <c r="AE83" s="62">
        <f t="shared" si="60"/>
        <v>32.340000000000003</v>
      </c>
      <c r="AF83" s="62">
        <f t="shared" si="60"/>
        <v>32.340000000000003</v>
      </c>
      <c r="AG83" s="62">
        <f t="shared" si="60"/>
        <v>32.340000000000003</v>
      </c>
      <c r="AH83" s="62">
        <f t="shared" si="60"/>
        <v>9.24</v>
      </c>
      <c r="AI83" s="62">
        <f t="shared" si="60"/>
        <v>9.24</v>
      </c>
    </row>
    <row r="84" spans="1:35" ht="13" outlineLevel="1" x14ac:dyDescent="0.15">
      <c r="A84" s="67" t="s">
        <v>100</v>
      </c>
      <c r="C84" s="3">
        <v>31.5</v>
      </c>
      <c r="I84" s="62">
        <f t="shared" ref="I84:AI84" si="61">I$68*$C84</f>
        <v>12.600000000000001</v>
      </c>
      <c r="J84" s="62">
        <f t="shared" si="61"/>
        <v>44.099999999999994</v>
      </c>
      <c r="K84" s="62">
        <f t="shared" si="61"/>
        <v>44.099999999999994</v>
      </c>
      <c r="L84" s="62">
        <f t="shared" si="61"/>
        <v>44.099999999999994</v>
      </c>
      <c r="M84" s="62">
        <f t="shared" si="61"/>
        <v>44.099999999999994</v>
      </c>
      <c r="N84" s="62">
        <f t="shared" si="61"/>
        <v>56.7</v>
      </c>
      <c r="O84" s="62">
        <f t="shared" si="61"/>
        <v>56.7</v>
      </c>
      <c r="P84" s="62">
        <f t="shared" si="61"/>
        <v>56.7</v>
      </c>
      <c r="Q84" s="62">
        <f t="shared" si="61"/>
        <v>56.7</v>
      </c>
      <c r="R84" s="62">
        <f t="shared" si="61"/>
        <v>56.7</v>
      </c>
      <c r="S84" s="62">
        <f t="shared" si="61"/>
        <v>56.7</v>
      </c>
      <c r="T84" s="62">
        <f t="shared" si="61"/>
        <v>56.7</v>
      </c>
      <c r="U84" s="62">
        <f t="shared" si="61"/>
        <v>56.7</v>
      </c>
      <c r="V84" s="62">
        <f t="shared" si="61"/>
        <v>56.7</v>
      </c>
      <c r="W84" s="62">
        <f t="shared" si="61"/>
        <v>50.400000000000006</v>
      </c>
      <c r="X84" s="62">
        <f t="shared" si="61"/>
        <v>50.400000000000006</v>
      </c>
      <c r="Y84" s="62">
        <f t="shared" si="61"/>
        <v>50.400000000000006</v>
      </c>
      <c r="Z84" s="62">
        <f t="shared" si="61"/>
        <v>50.400000000000006</v>
      </c>
      <c r="AA84" s="62">
        <f t="shared" si="61"/>
        <v>50.400000000000006</v>
      </c>
      <c r="AB84" s="62">
        <f t="shared" si="61"/>
        <v>50.400000000000006</v>
      </c>
      <c r="AC84" s="62">
        <f t="shared" si="61"/>
        <v>44.099999999999994</v>
      </c>
      <c r="AD84" s="62">
        <f t="shared" si="61"/>
        <v>44.099999999999994</v>
      </c>
      <c r="AE84" s="62">
        <f t="shared" si="61"/>
        <v>44.099999999999994</v>
      </c>
      <c r="AF84" s="62">
        <f t="shared" si="61"/>
        <v>44.099999999999994</v>
      </c>
      <c r="AG84" s="62">
        <f t="shared" si="61"/>
        <v>44.099999999999994</v>
      </c>
      <c r="AH84" s="62">
        <f t="shared" si="61"/>
        <v>12.600000000000001</v>
      </c>
      <c r="AI84" s="62">
        <f t="shared" si="61"/>
        <v>12.600000000000001</v>
      </c>
    </row>
    <row r="85" spans="1:35" ht="13" outlineLevel="1" x14ac:dyDescent="0.15">
      <c r="A85" s="67" t="s">
        <v>7</v>
      </c>
      <c r="C85" s="3">
        <v>21</v>
      </c>
      <c r="I85" s="62">
        <f t="shared" ref="I85:AI85" si="62">I$68*$C85</f>
        <v>8.4</v>
      </c>
      <c r="J85" s="62">
        <f t="shared" si="62"/>
        <v>29.4</v>
      </c>
      <c r="K85" s="62">
        <f t="shared" si="62"/>
        <v>29.4</v>
      </c>
      <c r="L85" s="62">
        <f t="shared" si="62"/>
        <v>29.4</v>
      </c>
      <c r="M85" s="62">
        <f t="shared" si="62"/>
        <v>29.4</v>
      </c>
      <c r="N85" s="62">
        <f t="shared" si="62"/>
        <v>37.800000000000004</v>
      </c>
      <c r="O85" s="62">
        <f t="shared" si="62"/>
        <v>37.800000000000004</v>
      </c>
      <c r="P85" s="62">
        <f t="shared" si="62"/>
        <v>37.800000000000004</v>
      </c>
      <c r="Q85" s="62">
        <f t="shared" si="62"/>
        <v>37.800000000000004</v>
      </c>
      <c r="R85" s="62">
        <f t="shared" si="62"/>
        <v>37.800000000000004</v>
      </c>
      <c r="S85" s="62">
        <f t="shared" si="62"/>
        <v>37.800000000000004</v>
      </c>
      <c r="T85" s="62">
        <f t="shared" si="62"/>
        <v>37.800000000000004</v>
      </c>
      <c r="U85" s="62">
        <f t="shared" si="62"/>
        <v>37.800000000000004</v>
      </c>
      <c r="V85" s="62">
        <f t="shared" si="62"/>
        <v>37.800000000000004</v>
      </c>
      <c r="W85" s="62">
        <f t="shared" si="62"/>
        <v>33.6</v>
      </c>
      <c r="X85" s="62">
        <f t="shared" si="62"/>
        <v>33.6</v>
      </c>
      <c r="Y85" s="62">
        <f t="shared" si="62"/>
        <v>33.6</v>
      </c>
      <c r="Z85" s="62">
        <f t="shared" si="62"/>
        <v>33.6</v>
      </c>
      <c r="AA85" s="62">
        <f t="shared" si="62"/>
        <v>33.6</v>
      </c>
      <c r="AB85" s="62">
        <f t="shared" si="62"/>
        <v>33.6</v>
      </c>
      <c r="AC85" s="62">
        <f t="shared" si="62"/>
        <v>29.4</v>
      </c>
      <c r="AD85" s="62">
        <f t="shared" si="62"/>
        <v>29.4</v>
      </c>
      <c r="AE85" s="62">
        <f t="shared" si="62"/>
        <v>29.4</v>
      </c>
      <c r="AF85" s="62">
        <f t="shared" si="62"/>
        <v>29.4</v>
      </c>
      <c r="AG85" s="62">
        <f t="shared" si="62"/>
        <v>29.4</v>
      </c>
      <c r="AH85" s="62">
        <f t="shared" si="62"/>
        <v>8.4</v>
      </c>
      <c r="AI85" s="62">
        <f t="shared" si="62"/>
        <v>8.4</v>
      </c>
    </row>
    <row r="86" spans="1:35" ht="13" outlineLevel="1" x14ac:dyDescent="0.15">
      <c r="A86" s="67" t="s">
        <v>8</v>
      </c>
      <c r="C86" s="3">
        <v>18.899999999999999</v>
      </c>
      <c r="I86" s="62">
        <f t="shared" ref="I86:AI86" si="63">I$68*$C86</f>
        <v>7.56</v>
      </c>
      <c r="J86" s="62">
        <f t="shared" si="63"/>
        <v>26.459999999999997</v>
      </c>
      <c r="K86" s="62">
        <f t="shared" si="63"/>
        <v>26.459999999999997</v>
      </c>
      <c r="L86" s="62">
        <f t="shared" si="63"/>
        <v>26.459999999999997</v>
      </c>
      <c r="M86" s="62">
        <f t="shared" si="63"/>
        <v>26.459999999999997</v>
      </c>
      <c r="N86" s="62">
        <f t="shared" si="63"/>
        <v>34.019999999999996</v>
      </c>
      <c r="O86" s="62">
        <f t="shared" si="63"/>
        <v>34.019999999999996</v>
      </c>
      <c r="P86" s="62">
        <f t="shared" si="63"/>
        <v>34.019999999999996</v>
      </c>
      <c r="Q86" s="62">
        <f t="shared" si="63"/>
        <v>34.019999999999996</v>
      </c>
      <c r="R86" s="62">
        <f t="shared" si="63"/>
        <v>34.019999999999996</v>
      </c>
      <c r="S86" s="62">
        <f t="shared" si="63"/>
        <v>34.019999999999996</v>
      </c>
      <c r="T86" s="62">
        <f t="shared" si="63"/>
        <v>34.019999999999996</v>
      </c>
      <c r="U86" s="62">
        <f t="shared" si="63"/>
        <v>34.019999999999996</v>
      </c>
      <c r="V86" s="62">
        <f t="shared" si="63"/>
        <v>34.019999999999996</v>
      </c>
      <c r="W86" s="62">
        <f t="shared" si="63"/>
        <v>30.24</v>
      </c>
      <c r="X86" s="62">
        <f t="shared" si="63"/>
        <v>30.24</v>
      </c>
      <c r="Y86" s="62">
        <f t="shared" si="63"/>
        <v>30.24</v>
      </c>
      <c r="Z86" s="62">
        <f t="shared" si="63"/>
        <v>30.24</v>
      </c>
      <c r="AA86" s="62">
        <f t="shared" si="63"/>
        <v>30.24</v>
      </c>
      <c r="AB86" s="62">
        <f t="shared" si="63"/>
        <v>30.24</v>
      </c>
      <c r="AC86" s="62">
        <f t="shared" si="63"/>
        <v>26.459999999999997</v>
      </c>
      <c r="AD86" s="62">
        <f t="shared" si="63"/>
        <v>26.459999999999997</v>
      </c>
      <c r="AE86" s="62">
        <f t="shared" si="63"/>
        <v>26.459999999999997</v>
      </c>
      <c r="AF86" s="62">
        <f t="shared" si="63"/>
        <v>26.459999999999997</v>
      </c>
      <c r="AG86" s="62">
        <f t="shared" si="63"/>
        <v>26.459999999999997</v>
      </c>
      <c r="AH86" s="62">
        <f t="shared" si="63"/>
        <v>7.56</v>
      </c>
      <c r="AI86" s="62">
        <f t="shared" si="63"/>
        <v>7.56</v>
      </c>
    </row>
    <row r="87" spans="1:35" ht="13" outlineLevel="1" x14ac:dyDescent="0.15">
      <c r="A87" s="67" t="s">
        <v>101</v>
      </c>
      <c r="C87" s="3">
        <v>16.8</v>
      </c>
      <c r="I87" s="62">
        <f t="shared" ref="I87:AI87" si="64">I$68*$C87</f>
        <v>6.7200000000000006</v>
      </c>
      <c r="J87" s="62">
        <f t="shared" si="64"/>
        <v>23.52</v>
      </c>
      <c r="K87" s="62">
        <f t="shared" si="64"/>
        <v>23.52</v>
      </c>
      <c r="L87" s="62">
        <f t="shared" si="64"/>
        <v>23.52</v>
      </c>
      <c r="M87" s="62">
        <f t="shared" si="64"/>
        <v>23.52</v>
      </c>
      <c r="N87" s="62">
        <f t="shared" si="64"/>
        <v>30.240000000000002</v>
      </c>
      <c r="O87" s="62">
        <f t="shared" si="64"/>
        <v>30.240000000000002</v>
      </c>
      <c r="P87" s="62">
        <f t="shared" si="64"/>
        <v>30.240000000000002</v>
      </c>
      <c r="Q87" s="62">
        <f t="shared" si="64"/>
        <v>30.240000000000002</v>
      </c>
      <c r="R87" s="62">
        <f t="shared" si="64"/>
        <v>30.240000000000002</v>
      </c>
      <c r="S87" s="62">
        <f t="shared" si="64"/>
        <v>30.240000000000002</v>
      </c>
      <c r="T87" s="62">
        <f t="shared" si="64"/>
        <v>30.240000000000002</v>
      </c>
      <c r="U87" s="62">
        <f t="shared" si="64"/>
        <v>30.240000000000002</v>
      </c>
      <c r="V87" s="62">
        <f t="shared" si="64"/>
        <v>30.240000000000002</v>
      </c>
      <c r="W87" s="62">
        <f t="shared" si="64"/>
        <v>26.880000000000003</v>
      </c>
      <c r="X87" s="62">
        <f t="shared" si="64"/>
        <v>26.880000000000003</v>
      </c>
      <c r="Y87" s="62">
        <f t="shared" si="64"/>
        <v>26.880000000000003</v>
      </c>
      <c r="Z87" s="62">
        <f t="shared" si="64"/>
        <v>26.880000000000003</v>
      </c>
      <c r="AA87" s="62">
        <f t="shared" si="64"/>
        <v>26.880000000000003</v>
      </c>
      <c r="AB87" s="62">
        <f t="shared" si="64"/>
        <v>26.880000000000003</v>
      </c>
      <c r="AC87" s="62">
        <f t="shared" si="64"/>
        <v>23.52</v>
      </c>
      <c r="AD87" s="62">
        <f t="shared" si="64"/>
        <v>23.52</v>
      </c>
      <c r="AE87" s="62">
        <f t="shared" si="64"/>
        <v>23.52</v>
      </c>
      <c r="AF87" s="62">
        <f t="shared" si="64"/>
        <v>23.52</v>
      </c>
      <c r="AG87" s="62">
        <f t="shared" si="64"/>
        <v>23.52</v>
      </c>
      <c r="AH87" s="62">
        <f t="shared" si="64"/>
        <v>6.7200000000000006</v>
      </c>
      <c r="AI87" s="62">
        <f t="shared" si="64"/>
        <v>6.7200000000000006</v>
      </c>
    </row>
    <row r="88" spans="1:35" ht="13" outlineLevel="1" x14ac:dyDescent="0.15">
      <c r="A88" s="67" t="s">
        <v>102</v>
      </c>
      <c r="C88" s="3">
        <v>8.4</v>
      </c>
      <c r="I88" s="62">
        <f t="shared" ref="I88:AI88" si="65">I$68*$C88</f>
        <v>3.3600000000000003</v>
      </c>
      <c r="J88" s="62">
        <f t="shared" si="65"/>
        <v>11.76</v>
      </c>
      <c r="K88" s="62">
        <f t="shared" si="65"/>
        <v>11.76</v>
      </c>
      <c r="L88" s="62">
        <f t="shared" si="65"/>
        <v>11.76</v>
      </c>
      <c r="M88" s="62">
        <f t="shared" si="65"/>
        <v>11.76</v>
      </c>
      <c r="N88" s="62">
        <f t="shared" si="65"/>
        <v>15.120000000000001</v>
      </c>
      <c r="O88" s="62">
        <f t="shared" si="65"/>
        <v>15.120000000000001</v>
      </c>
      <c r="P88" s="62">
        <f t="shared" si="65"/>
        <v>15.120000000000001</v>
      </c>
      <c r="Q88" s="62">
        <f t="shared" si="65"/>
        <v>15.120000000000001</v>
      </c>
      <c r="R88" s="62">
        <f t="shared" si="65"/>
        <v>15.120000000000001</v>
      </c>
      <c r="S88" s="62">
        <f t="shared" si="65"/>
        <v>15.120000000000001</v>
      </c>
      <c r="T88" s="62">
        <f t="shared" si="65"/>
        <v>15.120000000000001</v>
      </c>
      <c r="U88" s="62">
        <f t="shared" si="65"/>
        <v>15.120000000000001</v>
      </c>
      <c r="V88" s="62">
        <f t="shared" si="65"/>
        <v>15.120000000000001</v>
      </c>
      <c r="W88" s="62">
        <f t="shared" si="65"/>
        <v>13.440000000000001</v>
      </c>
      <c r="X88" s="62">
        <f t="shared" si="65"/>
        <v>13.440000000000001</v>
      </c>
      <c r="Y88" s="62">
        <f t="shared" si="65"/>
        <v>13.440000000000001</v>
      </c>
      <c r="Z88" s="62">
        <f t="shared" si="65"/>
        <v>13.440000000000001</v>
      </c>
      <c r="AA88" s="62">
        <f t="shared" si="65"/>
        <v>13.440000000000001</v>
      </c>
      <c r="AB88" s="62">
        <f t="shared" si="65"/>
        <v>13.440000000000001</v>
      </c>
      <c r="AC88" s="62">
        <f t="shared" si="65"/>
        <v>11.76</v>
      </c>
      <c r="AD88" s="62">
        <f t="shared" si="65"/>
        <v>11.76</v>
      </c>
      <c r="AE88" s="62">
        <f t="shared" si="65"/>
        <v>11.76</v>
      </c>
      <c r="AF88" s="62">
        <f t="shared" si="65"/>
        <v>11.76</v>
      </c>
      <c r="AG88" s="62">
        <f t="shared" si="65"/>
        <v>11.76</v>
      </c>
      <c r="AH88" s="62">
        <f t="shared" si="65"/>
        <v>3.3600000000000003</v>
      </c>
      <c r="AI88" s="62">
        <f t="shared" si="65"/>
        <v>3.3600000000000003</v>
      </c>
    </row>
    <row r="89" spans="1:35" ht="13" outlineLevel="1" x14ac:dyDescent="0.15">
      <c r="A89" s="67" t="s">
        <v>103</v>
      </c>
      <c r="C89" s="3">
        <v>10.5</v>
      </c>
      <c r="I89" s="62">
        <f t="shared" ref="I89:AI89" si="66">I$68*$C89</f>
        <v>4.2</v>
      </c>
      <c r="J89" s="62">
        <f t="shared" si="66"/>
        <v>14.7</v>
      </c>
      <c r="K89" s="62">
        <f t="shared" si="66"/>
        <v>14.7</v>
      </c>
      <c r="L89" s="62">
        <f t="shared" si="66"/>
        <v>14.7</v>
      </c>
      <c r="M89" s="62">
        <f t="shared" si="66"/>
        <v>14.7</v>
      </c>
      <c r="N89" s="62">
        <f t="shared" si="66"/>
        <v>18.900000000000002</v>
      </c>
      <c r="O89" s="62">
        <f t="shared" si="66"/>
        <v>18.900000000000002</v>
      </c>
      <c r="P89" s="62">
        <f t="shared" si="66"/>
        <v>18.900000000000002</v>
      </c>
      <c r="Q89" s="62">
        <f t="shared" si="66"/>
        <v>18.900000000000002</v>
      </c>
      <c r="R89" s="62">
        <f t="shared" si="66"/>
        <v>18.900000000000002</v>
      </c>
      <c r="S89" s="62">
        <f t="shared" si="66"/>
        <v>18.900000000000002</v>
      </c>
      <c r="T89" s="62">
        <f t="shared" si="66"/>
        <v>18.900000000000002</v>
      </c>
      <c r="U89" s="62">
        <f t="shared" si="66"/>
        <v>18.900000000000002</v>
      </c>
      <c r="V89" s="62">
        <f t="shared" si="66"/>
        <v>18.900000000000002</v>
      </c>
      <c r="W89" s="62">
        <f t="shared" si="66"/>
        <v>16.8</v>
      </c>
      <c r="X89" s="62">
        <f t="shared" si="66"/>
        <v>16.8</v>
      </c>
      <c r="Y89" s="62">
        <f t="shared" si="66"/>
        <v>16.8</v>
      </c>
      <c r="Z89" s="62">
        <f t="shared" si="66"/>
        <v>16.8</v>
      </c>
      <c r="AA89" s="62">
        <f t="shared" si="66"/>
        <v>16.8</v>
      </c>
      <c r="AB89" s="62">
        <f t="shared" si="66"/>
        <v>16.8</v>
      </c>
      <c r="AC89" s="62">
        <f t="shared" si="66"/>
        <v>14.7</v>
      </c>
      <c r="AD89" s="62">
        <f t="shared" si="66"/>
        <v>14.7</v>
      </c>
      <c r="AE89" s="62">
        <f t="shared" si="66"/>
        <v>14.7</v>
      </c>
      <c r="AF89" s="62">
        <f t="shared" si="66"/>
        <v>14.7</v>
      </c>
      <c r="AG89" s="62">
        <f t="shared" si="66"/>
        <v>14.7</v>
      </c>
      <c r="AH89" s="62">
        <f t="shared" si="66"/>
        <v>4.2</v>
      </c>
      <c r="AI89" s="62">
        <f t="shared" si="66"/>
        <v>4.2</v>
      </c>
    </row>
    <row r="90" spans="1:35" ht="13" x14ac:dyDescent="0.15">
      <c r="H90" s="3" t="s">
        <v>146</v>
      </c>
    </row>
    <row r="91" spans="1:35" ht="13" x14ac:dyDescent="0.15">
      <c r="A91" s="63" t="s">
        <v>147</v>
      </c>
      <c r="B91" s="63"/>
      <c r="C91" s="63" t="s">
        <v>148</v>
      </c>
      <c r="D91" s="63"/>
      <c r="E91" s="68">
        <f>SUM(I91:AI91)</f>
        <v>7.9002000000000026</v>
      </c>
      <c r="F91" s="68">
        <f>E91/28</f>
        <v>0.28215000000000007</v>
      </c>
      <c r="G91" s="63"/>
      <c r="H91" s="63"/>
      <c r="I91" s="68">
        <f t="shared" ref="I91:AI91" si="67">SUM(I80:I89)/1000</f>
        <v>7.9799999999999996E-2</v>
      </c>
      <c r="J91" s="68">
        <f t="shared" si="67"/>
        <v>0.27929999999999999</v>
      </c>
      <c r="K91" s="68">
        <f t="shared" si="67"/>
        <v>0.27929999999999999</v>
      </c>
      <c r="L91" s="68">
        <f t="shared" si="67"/>
        <v>0.27929999999999999</v>
      </c>
      <c r="M91" s="68">
        <f t="shared" si="67"/>
        <v>0.27929999999999999</v>
      </c>
      <c r="N91" s="68">
        <f t="shared" si="67"/>
        <v>0.35910000000000003</v>
      </c>
      <c r="O91" s="68">
        <f t="shared" si="67"/>
        <v>0.35910000000000003</v>
      </c>
      <c r="P91" s="68">
        <f t="shared" si="67"/>
        <v>0.35910000000000003</v>
      </c>
      <c r="Q91" s="68">
        <f t="shared" si="67"/>
        <v>0.35910000000000003</v>
      </c>
      <c r="R91" s="68">
        <f t="shared" si="67"/>
        <v>0.35910000000000003</v>
      </c>
      <c r="S91" s="68">
        <f t="shared" si="67"/>
        <v>0.35910000000000003</v>
      </c>
      <c r="T91" s="68">
        <f t="shared" si="67"/>
        <v>0.35910000000000003</v>
      </c>
      <c r="U91" s="68">
        <f t="shared" si="67"/>
        <v>0.35910000000000003</v>
      </c>
      <c r="V91" s="68">
        <f t="shared" si="67"/>
        <v>0.35910000000000003</v>
      </c>
      <c r="W91" s="68">
        <f t="shared" si="67"/>
        <v>0.31919999999999998</v>
      </c>
      <c r="X91" s="68">
        <f t="shared" si="67"/>
        <v>0.31919999999999998</v>
      </c>
      <c r="Y91" s="68">
        <f t="shared" si="67"/>
        <v>0.31919999999999998</v>
      </c>
      <c r="Z91" s="68">
        <f t="shared" si="67"/>
        <v>0.31919999999999998</v>
      </c>
      <c r="AA91" s="68">
        <f t="shared" si="67"/>
        <v>0.31919999999999998</v>
      </c>
      <c r="AB91" s="68">
        <f t="shared" si="67"/>
        <v>0.31919999999999998</v>
      </c>
      <c r="AC91" s="68">
        <f t="shared" si="67"/>
        <v>0.27929999999999999</v>
      </c>
      <c r="AD91" s="68">
        <f t="shared" si="67"/>
        <v>0.27929999999999999</v>
      </c>
      <c r="AE91" s="68">
        <f t="shared" si="67"/>
        <v>0.27929999999999999</v>
      </c>
      <c r="AF91" s="68">
        <f t="shared" si="67"/>
        <v>0.27929999999999999</v>
      </c>
      <c r="AG91" s="68">
        <f t="shared" si="67"/>
        <v>0.27929999999999999</v>
      </c>
      <c r="AH91" s="68">
        <f t="shared" si="67"/>
        <v>7.9799999999999996E-2</v>
      </c>
      <c r="AI91" s="68">
        <f t="shared" si="67"/>
        <v>7.9799999999999996E-2</v>
      </c>
    </row>
    <row r="92" spans="1:35" ht="13" x14ac:dyDescent="0.15">
      <c r="E92" s="3" t="s">
        <v>149</v>
      </c>
      <c r="F92" s="69" t="s">
        <v>150</v>
      </c>
    </row>
    <row r="93" spans="1:35" ht="13" x14ac:dyDescent="0.15">
      <c r="A93" s="63" t="s">
        <v>151</v>
      </c>
      <c r="B93" s="63"/>
      <c r="C93" s="63"/>
      <c r="D93" s="63"/>
      <c r="E93" s="68">
        <f>SUM(I93:AI93)</f>
        <v>259.07569553349282</v>
      </c>
      <c r="F93" s="68">
        <f>E93/28</f>
        <v>9.2527034119104581</v>
      </c>
      <c r="G93" s="63"/>
      <c r="H93" s="63"/>
      <c r="I93" s="68">
        <f t="shared" ref="I93:AI93" si="68">I91+I43</f>
        <v>7.9799999999999996E-2</v>
      </c>
      <c r="J93" s="68">
        <f t="shared" si="68"/>
        <v>2.5516968000000002</v>
      </c>
      <c r="K93" s="68">
        <f t="shared" si="68"/>
        <v>17.801855052392341</v>
      </c>
      <c r="L93" s="68">
        <f t="shared" si="68"/>
        <v>0.27929999999999999</v>
      </c>
      <c r="M93" s="68">
        <f t="shared" si="68"/>
        <v>17.801855052392341</v>
      </c>
      <c r="N93" s="68">
        <f t="shared" si="68"/>
        <v>17.554020201913882</v>
      </c>
      <c r="O93" s="68">
        <f t="shared" si="68"/>
        <v>5.1430487999999999</v>
      </c>
      <c r="P93" s="68">
        <f t="shared" si="68"/>
        <v>18.120810252392342</v>
      </c>
      <c r="Q93" s="68">
        <f t="shared" si="68"/>
        <v>4.9038936</v>
      </c>
      <c r="R93" s="68">
        <f t="shared" si="68"/>
        <v>17.793175401913881</v>
      </c>
      <c r="S93" s="68">
        <f t="shared" si="68"/>
        <v>5.7098388504784694</v>
      </c>
      <c r="T93" s="68">
        <f t="shared" si="68"/>
        <v>66.382837009569371</v>
      </c>
      <c r="U93" s="68">
        <f t="shared" si="68"/>
        <v>0.5982552000000001</v>
      </c>
      <c r="V93" s="68">
        <f t="shared" si="68"/>
        <v>13.487537001913878</v>
      </c>
      <c r="W93" s="68">
        <f t="shared" si="68"/>
        <v>0.79751039999999995</v>
      </c>
      <c r="X93" s="68">
        <f t="shared" si="68"/>
        <v>0.55835520000000005</v>
      </c>
      <c r="Y93" s="68">
        <f t="shared" si="68"/>
        <v>3.3975420504784695</v>
      </c>
      <c r="Z93" s="68">
        <f t="shared" si="68"/>
        <v>50.919706407655518</v>
      </c>
      <c r="AA93" s="68">
        <f t="shared" si="68"/>
        <v>0.31919999999999998</v>
      </c>
      <c r="AB93" s="68">
        <f t="shared" si="68"/>
        <v>0.31919999999999998</v>
      </c>
      <c r="AC93" s="68">
        <f t="shared" si="68"/>
        <v>0.27929999999999999</v>
      </c>
      <c r="AD93" s="68">
        <f t="shared" si="68"/>
        <v>2.8793316504784698</v>
      </c>
      <c r="AE93" s="68">
        <f t="shared" si="68"/>
        <v>0.27929999999999999</v>
      </c>
      <c r="AF93" s="68">
        <f t="shared" si="68"/>
        <v>10.679426601913878</v>
      </c>
      <c r="AG93" s="68">
        <f t="shared" si="68"/>
        <v>0.27929999999999999</v>
      </c>
      <c r="AH93" s="68">
        <f t="shared" si="68"/>
        <v>7.9799999999999996E-2</v>
      </c>
      <c r="AI93" s="68">
        <f t="shared" si="68"/>
        <v>7.9799999999999996E-2</v>
      </c>
    </row>
    <row r="94" spans="1:35" ht="13" x14ac:dyDescent="0.15">
      <c r="E94" s="3" t="s">
        <v>152</v>
      </c>
      <c r="F94" s="3" t="s">
        <v>153</v>
      </c>
    </row>
  </sheetData>
  <mergeCells count="1">
    <mergeCell ref="E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E34"/>
  <sheetViews>
    <sheetView workbookViewId="0"/>
  </sheetViews>
  <sheetFormatPr baseColWidth="10" defaultColWidth="12.6640625" defaultRowHeight="15.75" customHeight="1" x14ac:dyDescent="0.15"/>
  <cols>
    <col min="1" max="1" width="22.6640625" customWidth="1"/>
    <col min="2" max="2" width="11.33203125" customWidth="1"/>
    <col min="3" max="3" width="46.6640625" customWidth="1"/>
  </cols>
  <sheetData>
    <row r="1" spans="1:5" ht="15.75" customHeight="1" x14ac:dyDescent="0.25">
      <c r="A1" s="70" t="s">
        <v>154</v>
      </c>
    </row>
    <row r="2" spans="1:5" ht="15.75" customHeight="1" x14ac:dyDescent="0.25">
      <c r="A2" s="70"/>
    </row>
    <row r="3" spans="1:5" ht="15.75" customHeight="1" x14ac:dyDescent="0.15">
      <c r="A3" s="71" t="s">
        <v>155</v>
      </c>
      <c r="B3" s="71"/>
      <c r="C3" s="71"/>
      <c r="D3" s="71"/>
      <c r="E3" s="71"/>
    </row>
    <row r="4" spans="1:5" ht="15.75" customHeight="1" x14ac:dyDescent="0.15">
      <c r="A4" s="71"/>
      <c r="B4" s="71"/>
      <c r="C4" s="71"/>
      <c r="D4" s="71"/>
      <c r="E4" s="71"/>
    </row>
    <row r="5" spans="1:5" ht="15.75" customHeight="1" x14ac:dyDescent="0.15">
      <c r="A5" s="72" t="s">
        <v>156</v>
      </c>
      <c r="B5" s="72" t="s">
        <v>157</v>
      </c>
      <c r="C5" s="72" t="s">
        <v>158</v>
      </c>
      <c r="D5" s="71"/>
      <c r="E5" s="71"/>
    </row>
    <row r="6" spans="1:5" ht="15.75" customHeight="1" x14ac:dyDescent="0.15">
      <c r="A6" s="71" t="s">
        <v>2</v>
      </c>
      <c r="B6" s="71">
        <v>0.2</v>
      </c>
      <c r="C6" s="71" t="s">
        <v>159</v>
      </c>
      <c r="D6" s="71"/>
      <c r="E6" s="71"/>
    </row>
    <row r="7" spans="1:5" ht="15.75" customHeight="1" x14ac:dyDescent="0.15">
      <c r="A7" s="71" t="s">
        <v>3</v>
      </c>
      <c r="B7" s="71">
        <v>0.3</v>
      </c>
      <c r="C7" s="71" t="s">
        <v>160</v>
      </c>
      <c r="D7" s="71"/>
      <c r="E7" s="71"/>
    </row>
    <row r="8" spans="1:5" ht="15.75" customHeight="1" x14ac:dyDescent="0.15">
      <c r="A8" s="71" t="s">
        <v>4</v>
      </c>
      <c r="B8" s="71">
        <v>0.3</v>
      </c>
      <c r="C8" s="71" t="s">
        <v>161</v>
      </c>
      <c r="D8" s="71"/>
      <c r="E8" s="71"/>
    </row>
    <row r="9" spans="1:5" ht="15.75" customHeight="1" x14ac:dyDescent="0.15">
      <c r="A9" s="71" t="s">
        <v>5</v>
      </c>
      <c r="B9" s="71">
        <v>0.2</v>
      </c>
      <c r="C9" s="71" t="s">
        <v>162</v>
      </c>
      <c r="D9" s="71"/>
      <c r="E9" s="71"/>
    </row>
    <row r="10" spans="1:5" ht="15.75" customHeight="1" x14ac:dyDescent="0.15">
      <c r="A10" s="71" t="s">
        <v>6</v>
      </c>
      <c r="B10" s="71">
        <v>0.4</v>
      </c>
      <c r="C10" s="71" t="s">
        <v>163</v>
      </c>
      <c r="D10" s="71"/>
      <c r="E10" s="71"/>
    </row>
    <row r="11" spans="1:5" ht="15.75" customHeight="1" x14ac:dyDescent="0.15">
      <c r="A11" s="71" t="s">
        <v>7</v>
      </c>
      <c r="B11" s="71">
        <v>0.3</v>
      </c>
      <c r="C11" s="71" t="s">
        <v>164</v>
      </c>
      <c r="D11" s="71"/>
      <c r="E11" s="71"/>
    </row>
    <row r="12" spans="1:5" ht="15.75" customHeight="1" x14ac:dyDescent="0.15">
      <c r="A12" s="71" t="s">
        <v>8</v>
      </c>
      <c r="B12" s="71">
        <v>0.2</v>
      </c>
      <c r="C12" s="71" t="s">
        <v>165</v>
      </c>
      <c r="D12" s="71"/>
      <c r="E12" s="71"/>
    </row>
    <row r="13" spans="1:5" ht="15.75" customHeight="1" x14ac:dyDescent="0.15">
      <c r="C13" s="71"/>
      <c r="D13" s="71"/>
      <c r="E13" s="71"/>
    </row>
    <row r="14" spans="1:5" ht="15.75" customHeight="1" x14ac:dyDescent="0.15">
      <c r="A14" s="56" t="s">
        <v>1</v>
      </c>
      <c r="B14" s="56">
        <f>SUM(B6:B13)</f>
        <v>1.9</v>
      </c>
    </row>
    <row r="23" spans="1:4" ht="15.75" customHeight="1" x14ac:dyDescent="0.15">
      <c r="A23" s="73" t="s">
        <v>156</v>
      </c>
      <c r="B23" s="73" t="s">
        <v>157</v>
      </c>
      <c r="C23" s="73" t="s">
        <v>158</v>
      </c>
      <c r="D23" s="3" t="s">
        <v>166</v>
      </c>
    </row>
    <row r="24" spans="1:4" ht="15.75" customHeight="1" x14ac:dyDescent="0.15">
      <c r="A24" s="51" t="s">
        <v>2</v>
      </c>
      <c r="B24" s="51">
        <v>0.2</v>
      </c>
      <c r="C24" s="51" t="s">
        <v>159</v>
      </c>
    </row>
    <row r="25" spans="1:4" ht="15.75" customHeight="1" x14ac:dyDescent="0.15">
      <c r="A25" s="51" t="s">
        <v>96</v>
      </c>
      <c r="B25" s="51">
        <v>1</v>
      </c>
      <c r="C25" s="51" t="s">
        <v>161</v>
      </c>
    </row>
    <row r="26" spans="1:4" ht="15.75" customHeight="1" x14ac:dyDescent="0.15">
      <c r="A26" s="51" t="s">
        <v>97</v>
      </c>
      <c r="B26" s="51">
        <v>1</v>
      </c>
      <c r="C26" s="51" t="s">
        <v>163</v>
      </c>
    </row>
    <row r="27" spans="1:4" ht="15.75" customHeight="1" x14ac:dyDescent="0.15">
      <c r="A27" s="51" t="s">
        <v>7</v>
      </c>
      <c r="B27" s="51">
        <v>1</v>
      </c>
      <c r="C27" s="51" t="s">
        <v>164</v>
      </c>
    </row>
    <row r="28" spans="1:4" ht="15.75" customHeight="1" x14ac:dyDescent="0.15">
      <c r="A28" s="51" t="s">
        <v>8</v>
      </c>
      <c r="B28" s="51">
        <v>0.5</v>
      </c>
      <c r="C28" s="51" t="s">
        <v>165</v>
      </c>
    </row>
    <row r="29" spans="1:4" ht="15.75" customHeight="1" x14ac:dyDescent="0.15">
      <c r="A29" s="74"/>
      <c r="B29" s="74"/>
      <c r="C29" s="51"/>
    </row>
    <row r="30" spans="1:4" ht="15.75" customHeight="1" x14ac:dyDescent="0.15">
      <c r="A30" s="75" t="s">
        <v>1</v>
      </c>
      <c r="B30" s="75">
        <f>SUM(B24:B29)</f>
        <v>3.7</v>
      </c>
      <c r="C30" s="74"/>
    </row>
    <row r="32" spans="1:4" ht="15.75" customHeight="1" x14ac:dyDescent="0.15">
      <c r="D32" s="3" t="s">
        <v>167</v>
      </c>
    </row>
    <row r="33" spans="4:4" ht="15.75" customHeight="1" x14ac:dyDescent="0.15">
      <c r="D33" s="3" t="s">
        <v>168</v>
      </c>
    </row>
    <row r="34" spans="4:4" ht="15.75" customHeight="1" x14ac:dyDescent="0.15">
      <c r="D34" s="3" t="s">
        <v>169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I38"/>
  <sheetViews>
    <sheetView tabSelected="1" workbookViewId="0"/>
  </sheetViews>
  <sheetFormatPr baseColWidth="10" defaultColWidth="12.6640625" defaultRowHeight="15.75" customHeight="1" x14ac:dyDescent="0.15"/>
  <cols>
    <col min="1" max="1" width="27.5" customWidth="1"/>
    <col min="2" max="2" width="14.33203125" customWidth="1"/>
    <col min="3" max="3" width="73.1640625" customWidth="1"/>
  </cols>
  <sheetData>
    <row r="1" spans="1:4" ht="15.75" customHeight="1" x14ac:dyDescent="0.25">
      <c r="A1" s="70" t="s">
        <v>170</v>
      </c>
    </row>
    <row r="2" spans="1:4" ht="15.75" customHeight="1" x14ac:dyDescent="0.25">
      <c r="A2" s="70"/>
    </row>
    <row r="3" spans="1:4" x14ac:dyDescent="0.2">
      <c r="A3" s="76" t="s">
        <v>171</v>
      </c>
      <c r="B3" s="76"/>
      <c r="C3" s="76"/>
      <c r="D3" s="77"/>
    </row>
    <row r="4" spans="1:4" x14ac:dyDescent="0.2">
      <c r="A4" s="71"/>
      <c r="B4" s="71"/>
      <c r="C4" s="71"/>
      <c r="D4" s="77"/>
    </row>
    <row r="5" spans="1:4" x14ac:dyDescent="0.2">
      <c r="A5" s="72" t="s">
        <v>156</v>
      </c>
      <c r="B5" s="72" t="s">
        <v>157</v>
      </c>
      <c r="C5" s="72" t="s">
        <v>158</v>
      </c>
      <c r="D5" s="77"/>
    </row>
    <row r="6" spans="1:4" x14ac:dyDescent="0.2">
      <c r="A6" s="71" t="s">
        <v>2</v>
      </c>
      <c r="B6" s="71">
        <v>0.5</v>
      </c>
      <c r="C6" s="71" t="s">
        <v>172</v>
      </c>
      <c r="D6" s="77"/>
    </row>
    <row r="7" spans="1:4" x14ac:dyDescent="0.2">
      <c r="A7" s="71" t="s">
        <v>3</v>
      </c>
      <c r="B7" s="71">
        <v>1.5</v>
      </c>
      <c r="C7" s="71" t="s">
        <v>173</v>
      </c>
      <c r="D7" s="77"/>
    </row>
    <row r="8" spans="1:4" x14ac:dyDescent="0.2">
      <c r="A8" s="71" t="s">
        <v>4</v>
      </c>
      <c r="B8" s="71">
        <v>2</v>
      </c>
      <c r="C8" s="71" t="s">
        <v>174</v>
      </c>
      <c r="D8" s="77"/>
    </row>
    <row r="9" spans="1:4" x14ac:dyDescent="0.2">
      <c r="A9" s="71" t="s">
        <v>5</v>
      </c>
      <c r="B9" s="71">
        <v>1</v>
      </c>
      <c r="C9" s="71" t="s">
        <v>175</v>
      </c>
      <c r="D9" s="77"/>
    </row>
    <row r="10" spans="1:4" x14ac:dyDescent="0.2">
      <c r="A10" s="71" t="s">
        <v>6</v>
      </c>
      <c r="B10" s="71">
        <v>1</v>
      </c>
      <c r="C10" s="71" t="s">
        <v>176</v>
      </c>
      <c r="D10" s="77"/>
    </row>
    <row r="11" spans="1:4" x14ac:dyDescent="0.2">
      <c r="A11" s="71" t="s">
        <v>7</v>
      </c>
      <c r="B11" s="71">
        <v>1</v>
      </c>
      <c r="C11" s="71" t="s">
        <v>177</v>
      </c>
      <c r="D11" s="77"/>
    </row>
    <row r="12" spans="1:4" x14ac:dyDescent="0.2">
      <c r="A12" s="71" t="s">
        <v>8</v>
      </c>
      <c r="B12" s="71">
        <v>1.2</v>
      </c>
      <c r="C12" s="71" t="s">
        <v>178</v>
      </c>
      <c r="D12" s="77"/>
    </row>
    <row r="13" spans="1:4" ht="15.75" customHeight="1" x14ac:dyDescent="0.15">
      <c r="A13" s="71"/>
      <c r="B13" s="71"/>
      <c r="C13" s="71"/>
    </row>
    <row r="14" spans="1:4" ht="15.75" customHeight="1" x14ac:dyDescent="0.15">
      <c r="A14" s="71"/>
      <c r="B14" s="71"/>
      <c r="C14" s="71"/>
    </row>
    <row r="15" spans="1:4" ht="15.75" customHeight="1" x14ac:dyDescent="0.15">
      <c r="A15" s="71"/>
      <c r="B15" s="71"/>
      <c r="C15" s="71"/>
    </row>
    <row r="16" spans="1:4" ht="15.75" customHeight="1" x14ac:dyDescent="0.15">
      <c r="A16" s="71"/>
      <c r="B16" s="71"/>
      <c r="C16" s="71"/>
    </row>
    <row r="17" spans="1:9" ht="15.75" customHeight="1" x14ac:dyDescent="0.15">
      <c r="A17" s="56" t="s">
        <v>1</v>
      </c>
      <c r="B17" s="56">
        <f>SUM(B6:B16)</f>
        <v>8.1999999999999993</v>
      </c>
    </row>
    <row r="23" spans="1:9" ht="15.75" customHeight="1" x14ac:dyDescent="0.15">
      <c r="E23" s="3" t="s">
        <v>179</v>
      </c>
      <c r="F23" s="3" t="s">
        <v>180</v>
      </c>
    </row>
    <row r="24" spans="1:9" ht="15.75" customHeight="1" x14ac:dyDescent="0.15">
      <c r="A24" s="73" t="s">
        <v>156</v>
      </c>
      <c r="B24" s="73" t="s">
        <v>157</v>
      </c>
      <c r="C24" s="73" t="s">
        <v>158</v>
      </c>
    </row>
    <row r="25" spans="1:9" ht="15.75" customHeight="1" x14ac:dyDescent="0.15">
      <c r="A25" s="51" t="s">
        <v>2</v>
      </c>
      <c r="B25" s="51">
        <v>0.5</v>
      </c>
      <c r="C25" s="51" t="s">
        <v>172</v>
      </c>
      <c r="E25" s="3">
        <v>1000</v>
      </c>
      <c r="F25" s="3">
        <f t="shared" ref="F25:F34" si="0">B25*E25</f>
        <v>500</v>
      </c>
      <c r="G25" s="3">
        <f t="shared" ref="G25:G34" si="1">F25*21</f>
        <v>10500</v>
      </c>
      <c r="I25" s="3">
        <f t="shared" ref="I25:I34" si="2">E25*21</f>
        <v>21000</v>
      </c>
    </row>
    <row r="26" spans="1:9" ht="15.75" customHeight="1" x14ac:dyDescent="0.15">
      <c r="A26" s="51" t="s">
        <v>3</v>
      </c>
      <c r="B26" s="51">
        <v>1.5</v>
      </c>
      <c r="C26" s="51" t="s">
        <v>173</v>
      </c>
      <c r="E26" s="3">
        <v>1100</v>
      </c>
      <c r="F26" s="3">
        <f t="shared" si="0"/>
        <v>1650</v>
      </c>
      <c r="G26" s="3">
        <f t="shared" si="1"/>
        <v>34650</v>
      </c>
      <c r="I26" s="3">
        <f t="shared" si="2"/>
        <v>23100</v>
      </c>
    </row>
    <row r="27" spans="1:9" ht="15.75" customHeight="1" x14ac:dyDescent="0.15">
      <c r="A27" s="51" t="s">
        <v>4</v>
      </c>
      <c r="B27" s="51">
        <v>1</v>
      </c>
      <c r="C27" s="51" t="s">
        <v>174</v>
      </c>
      <c r="E27" s="3">
        <v>1200</v>
      </c>
      <c r="F27" s="3">
        <f t="shared" si="0"/>
        <v>1200</v>
      </c>
      <c r="G27" s="3">
        <f t="shared" si="1"/>
        <v>25200</v>
      </c>
      <c r="I27" s="3">
        <f t="shared" si="2"/>
        <v>25200</v>
      </c>
    </row>
    <row r="28" spans="1:9" ht="15.75" customHeight="1" x14ac:dyDescent="0.15">
      <c r="A28" s="51" t="s">
        <v>5</v>
      </c>
      <c r="B28" s="51">
        <v>1</v>
      </c>
      <c r="C28" s="51" t="s">
        <v>175</v>
      </c>
      <c r="E28" s="3">
        <v>1100</v>
      </c>
      <c r="F28" s="3">
        <f t="shared" si="0"/>
        <v>1100</v>
      </c>
      <c r="G28" s="3">
        <f t="shared" si="1"/>
        <v>23100</v>
      </c>
      <c r="I28" s="3">
        <f t="shared" si="2"/>
        <v>23100</v>
      </c>
    </row>
    <row r="29" spans="1:9" ht="15.75" customHeight="1" x14ac:dyDescent="0.15">
      <c r="A29" s="51" t="s">
        <v>100</v>
      </c>
      <c r="B29" s="51">
        <v>1</v>
      </c>
      <c r="C29" s="51" t="s">
        <v>176</v>
      </c>
      <c r="E29" s="3">
        <v>1500</v>
      </c>
      <c r="F29" s="3">
        <f t="shared" si="0"/>
        <v>1500</v>
      </c>
      <c r="G29" s="3">
        <f t="shared" si="1"/>
        <v>31500</v>
      </c>
      <c r="I29" s="3">
        <f t="shared" si="2"/>
        <v>31500</v>
      </c>
    </row>
    <row r="30" spans="1:9" ht="15.75" customHeight="1" x14ac:dyDescent="0.15">
      <c r="A30" s="51" t="s">
        <v>7</v>
      </c>
      <c r="B30" s="51">
        <v>1</v>
      </c>
      <c r="C30" s="51" t="s">
        <v>177</v>
      </c>
      <c r="E30" s="3">
        <v>1000</v>
      </c>
      <c r="F30" s="3">
        <f t="shared" si="0"/>
        <v>1000</v>
      </c>
      <c r="G30" s="3">
        <f t="shared" si="1"/>
        <v>21000</v>
      </c>
      <c r="I30" s="3">
        <f t="shared" si="2"/>
        <v>21000</v>
      </c>
    </row>
    <row r="31" spans="1:9" ht="15.75" customHeight="1" x14ac:dyDescent="0.15">
      <c r="A31" s="51" t="s">
        <v>8</v>
      </c>
      <c r="B31" s="51">
        <v>1.2</v>
      </c>
      <c r="C31" s="51" t="s">
        <v>178</v>
      </c>
      <c r="E31" s="3">
        <v>900</v>
      </c>
      <c r="F31" s="3">
        <f t="shared" si="0"/>
        <v>1080</v>
      </c>
      <c r="G31" s="3">
        <f t="shared" si="1"/>
        <v>22680</v>
      </c>
      <c r="I31" s="3">
        <f t="shared" si="2"/>
        <v>18900</v>
      </c>
    </row>
    <row r="32" spans="1:9" ht="15.75" customHeight="1" x14ac:dyDescent="0.15">
      <c r="A32" s="51" t="s">
        <v>101</v>
      </c>
      <c r="B32" s="51">
        <v>1</v>
      </c>
      <c r="C32" s="51" t="s">
        <v>181</v>
      </c>
      <c r="E32" s="3">
        <v>800</v>
      </c>
      <c r="F32" s="3">
        <f t="shared" si="0"/>
        <v>800</v>
      </c>
      <c r="G32" s="3">
        <f t="shared" si="1"/>
        <v>16800</v>
      </c>
      <c r="I32" s="3">
        <f t="shared" si="2"/>
        <v>16800</v>
      </c>
    </row>
    <row r="33" spans="1:9" ht="15.75" customHeight="1" x14ac:dyDescent="0.15">
      <c r="A33" s="51" t="s">
        <v>102</v>
      </c>
      <c r="B33" s="51">
        <v>7</v>
      </c>
      <c r="C33" s="51" t="s">
        <v>182</v>
      </c>
      <c r="E33" s="3">
        <v>400</v>
      </c>
      <c r="F33" s="3">
        <f t="shared" si="0"/>
        <v>2800</v>
      </c>
      <c r="G33" s="3">
        <f t="shared" si="1"/>
        <v>58800</v>
      </c>
      <c r="I33" s="3">
        <f t="shared" si="2"/>
        <v>8400</v>
      </c>
    </row>
    <row r="34" spans="1:9" ht="15.75" customHeight="1" x14ac:dyDescent="0.15">
      <c r="A34" s="51" t="s">
        <v>103</v>
      </c>
      <c r="B34" s="51">
        <v>1</v>
      </c>
      <c r="C34" s="51" t="s">
        <v>183</v>
      </c>
      <c r="E34" s="3">
        <v>500</v>
      </c>
      <c r="F34" s="3">
        <f t="shared" si="0"/>
        <v>500</v>
      </c>
      <c r="G34" s="3">
        <f t="shared" si="1"/>
        <v>10500</v>
      </c>
      <c r="I34" s="3">
        <f t="shared" si="2"/>
        <v>10500</v>
      </c>
    </row>
    <row r="35" spans="1:9" ht="15.75" customHeight="1" x14ac:dyDescent="0.15">
      <c r="A35" s="51"/>
      <c r="B35" s="51"/>
      <c r="C35" s="51"/>
      <c r="G35" s="78">
        <f>SUM(G25:G34)</f>
        <v>254730</v>
      </c>
    </row>
    <row r="36" spans="1:9" ht="15.75" customHeight="1" x14ac:dyDescent="0.15">
      <c r="A36" s="75" t="s">
        <v>1</v>
      </c>
      <c r="B36" s="75">
        <f>SUM(B25:B35)</f>
        <v>16.2</v>
      </c>
      <c r="C36" s="74"/>
      <c r="G36" s="78">
        <f>G35*12</f>
        <v>3056760</v>
      </c>
    </row>
    <row r="38" spans="1:9" ht="15.75" customHeight="1" x14ac:dyDescent="0.15">
      <c r="F38" s="5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Sample DEC</vt:lpstr>
      <vt:lpstr>Sample BESS</vt:lpstr>
      <vt:lpstr>Planning 2026_2027</vt:lpstr>
      <vt:lpstr>Sample EPC Resources</vt:lpstr>
      <vt:lpstr>Sample Non EPC Resources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2026-01-23T07:28:43Z</dcterms:modified>
</cp:coreProperties>
</file>